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30DAYS\"/>
    </mc:Choice>
  </mc:AlternateContent>
  <bookViews>
    <workbookView windowWidth="28800" windowHeight="12375" activeTab="1"/>
  </bookViews>
  <sheets>
    <sheet name="分类统计" sheetId="1" r:id="rId1"/>
    <sheet name="要素图鉴" sheetId="2" r:id="rId2"/>
  </sheets>
  <definedNames>
    <definedName name="_xlnm._FilterDatabase" localSheetId="1" hidden="1">要素图鉴!$A$1:$F$147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<sst xmlns="http://schemas.openxmlformats.org/spreadsheetml/2006/main" count="766" uniqueCount="540">
  <si>
    <t>大类</t>
  </si>
  <si>
    <t>要素数</t>
  </si>
  <si>
    <t>代表要素示例</t>
  </si>
  <si>
    <t>趋势备注</t>
  </si>
  <si>
    <t>总组合</t>
  </si>
  <si>
    <t>发型</t>
  </si>
  <si>
    <t>双马尾、黑长直、丸子头、呆毛、姬发式</t>
  </si>
  <si>
    <t>经典发型全制霸，黑长直+双马尾最常青</t>
  </si>
  <si>
    <t>发色</t>
  </si>
  <si>
    <t>粉毛、银发紫瞳、金发、渐变挑染、芦毛</t>
  </si>
  <si>
    <t>银发紫瞳为 2026 顶流组合，粉毛经久不衰</t>
  </si>
  <si>
    <t>瞳与面部</t>
  </si>
  <si>
    <t>异色瞳、红瞳、虎牙、猫嘴、狐狸眼、泪痣</t>
  </si>
  <si>
    <t>小特征制造记忆点，眼型决定气质</t>
  </si>
  <si>
    <t>体型</t>
  </si>
  <si>
    <t>丰满、巨乳、贫乳、大长腿、绝对领域</t>
  </si>
  <si>
    <t>身材标签是商业卖点，反差体型出圈</t>
  </si>
  <si>
    <t>年龄</t>
  </si>
  <si>
    <t>幼女、萝莉、女高中生、御姐、人妻</t>
  </si>
  <si>
    <t>年龄跨度覆盖全受众，反差年龄是钩子</t>
  </si>
  <si>
    <t>服装</t>
  </si>
  <si>
    <t>水手服、兔女郎装、魔女装、旗袍、护士服</t>
  </si>
  <si>
    <t>制服+奇幻+节日装三线并进</t>
  </si>
  <si>
    <t>配饰</t>
  </si>
  <si>
    <t>兽耳、choker、过膝袜、白丝、渔网袜</t>
  </si>
  <si>
    <t>非人要素+辣妹系加成，细节记忆点</t>
  </si>
  <si>
    <t>属性</t>
  </si>
  <si>
    <t>傲娇、反差萌、女王、病娇、病弱</t>
  </si>
  <si>
    <t>反差萌=近十年最强人设钩子</t>
  </si>
  <si>
    <t>合计</t>
  </si>
  <si>
    <t>序号</t>
  </si>
  <si>
    <t>要素</t>
  </si>
  <si>
    <t>代表角色</t>
  </si>
  <si>
    <t>作品</t>
  </si>
  <si>
    <t>备注</t>
  </si>
  <si>
    <t>双马尾</t>
  </si>
  <si>
    <t>喜多郁代、中野二乃</t>
  </si>
  <si>
    <t>孤独摇滚、五等分的新娘</t>
  </si>
  <si>
    <t>元气少女经典配置</t>
  </si>
  <si>
    <t>高单马尾</t>
  </si>
  <si>
    <t>绫濑桃、亚丝娜</t>
  </si>
  <si>
    <t>胆大党、刀剑神域</t>
  </si>
  <si>
    <t>干练活力感</t>
  </si>
  <si>
    <t>低马尾/侧扎</t>
  </si>
  <si>
    <t>四宫辉夜</t>
  </si>
  <si>
    <t>辉夜大小姐想让我告白</t>
  </si>
  <si>
    <t>大小姐优雅感</t>
  </si>
  <si>
    <t>麻花辫/编发</t>
  </si>
  <si>
    <t>甘露寺蜜璃</t>
  </si>
  <si>
    <t>鬼灭之刃</t>
  </si>
  <si>
    <t>粉绿渐变编发</t>
  </si>
  <si>
    <t>丸子头/双团子</t>
  </si>
  <si>
    <t>藤原千花、铃木实优</t>
  </si>
  <si>
    <t>辉夜大小姐想让我告白、相反的你和我</t>
  </si>
  <si>
    <t>可爱系双团子</t>
  </si>
  <si>
    <t>姬发式/公主切</t>
  </si>
  <si>
    <t>岩永琴子</t>
  </si>
  <si>
    <t>虚构推理</t>
  </si>
  <si>
    <t>齐刘海+垂发古典感</t>
  </si>
  <si>
    <t>黑长直</t>
  </si>
  <si>
    <t>四宫辉夜、雪之下雪乃</t>
  </si>
  <si>
    <t>辉夜大小姐想让我告白、春物</t>
  </si>
  <si>
    <t>日漫最强经典发型</t>
  </si>
  <si>
    <t>波波头/锁骨短</t>
  </si>
  <si>
    <t>约尔、三笠</t>
  </si>
  <si>
    <t>间谍过家家、进击的巨人</t>
  </si>
  <si>
    <t>成熟干练</t>
  </si>
  <si>
    <t>狼尾/渐层剪</t>
  </si>
  <si>
    <t>锦木千束</t>
  </si>
  <si>
    <t>莉可丽丝</t>
  </si>
  <si>
    <t>银白狼尾时尚感</t>
  </si>
  <si>
    <t>长卷发</t>
  </si>
  <si>
    <t>中野三玖、玛露希尔</t>
  </si>
  <si>
    <t>五等分的新娘、迷宫饭</t>
  </si>
  <si>
    <t>温柔慵懒</t>
  </si>
  <si>
    <t>空气刘海/齐刘海</t>
  </si>
  <si>
    <t>阿尼亚、芙莉莲</t>
  </si>
  <si>
    <t>间谍过家家、葬送的芙莉莲</t>
  </si>
  <si>
    <t>幼态减龄</t>
  </si>
  <si>
    <t>呆毛</t>
  </si>
  <si>
    <t>阿尼亚、小栗帽</t>
  </si>
  <si>
    <t>间谍过家家、赛马娘</t>
  </si>
  <si>
    <t>反重力萌点</t>
  </si>
  <si>
    <t>及腰超长发</t>
  </si>
  <si>
    <t>芙莉莲、薇尔莉特</t>
  </si>
  <si>
    <t>葬送的芙莉莲、紫罗兰永恒花园</t>
  </si>
  <si>
    <t>圣洁飘逸</t>
  </si>
  <si>
    <t>发髻+发簪</t>
  </si>
  <si>
    <t>猫猫</t>
  </si>
  <si>
    <t>药屋少女的呢喃</t>
  </si>
  <si>
    <t>中式宫廷感</t>
  </si>
  <si>
    <t>红绳绑马尾</t>
  </si>
  <si>
    <t>宫水三叶</t>
  </si>
  <si>
    <t>你的名字</t>
  </si>
  <si>
    <t>发绳点缀辨识度</t>
  </si>
  <si>
    <t>刘海遮眼</t>
  </si>
  <si>
    <t>中野三玖、小栗帽</t>
  </si>
  <si>
    <t>五等分的新娘、赛马娘</t>
  </si>
  <si>
    <t>神秘感</t>
  </si>
  <si>
    <t>中性短发</t>
  </si>
  <si>
    <t>三笠、井之上泷奈</t>
  </si>
  <si>
    <t>进击的巨人、莉可丽丝</t>
  </si>
  <si>
    <t>飒爽战斗系</t>
  </si>
  <si>
    <t>低双马尾</t>
  </si>
  <si>
    <t>蛙吹梅雨</t>
  </si>
  <si>
    <t>我的英雄学院</t>
  </si>
  <si>
    <t>个性系配置</t>
  </si>
  <si>
    <t>碎发/胎毛</t>
  </si>
  <si>
    <t>阿尼亚</t>
  </si>
  <si>
    <t>间谍过家家</t>
  </si>
  <si>
    <t>幼态绒毛感</t>
  </si>
  <si>
    <t>披肩中长发</t>
  </si>
  <si>
    <t>三轮霞</t>
  </si>
  <si>
    <t>咒术回战</t>
  </si>
  <si>
    <t>邻家感</t>
  </si>
  <si>
    <t>粉发</t>
  </si>
  <si>
    <t>阿尼亚、玛奇玛、后藤一里</t>
  </si>
  <si>
    <t>间谍过家家、电锯人、孤独摇滚</t>
  </si>
  <si>
    <t>粉毛神教常青</t>
  </si>
  <si>
    <t>银发/白发</t>
  </si>
  <si>
    <t>芙莉莲、锦木千束、希露菲</t>
  </si>
  <si>
    <t>葬送的芙莉莲、莉可丽丝、无职转生</t>
  </si>
  <si>
    <t>近十年顶流发色</t>
  </si>
  <si>
    <t>银发紫瞳组合</t>
  </si>
  <si>
    <t>艾米莉娅</t>
  </si>
  <si>
    <t>Re:0</t>
  </si>
  <si>
    <t>2026 春季霸权顶配</t>
  </si>
  <si>
    <t>金发</t>
  </si>
  <si>
    <t>薇尔莉特、岩永琴子、帕瓦</t>
  </si>
  <si>
    <t>紫罗兰永恒花园、虚构推理、电锯人</t>
  </si>
  <si>
    <t>西洋感</t>
  </si>
  <si>
    <t>棕发/奶棕</t>
  </si>
  <si>
    <t>丽日御茶子、蕾塞</t>
  </si>
  <si>
    <t>我的英雄学院、电锯人</t>
  </si>
  <si>
    <t>日常亲切感</t>
  </si>
  <si>
    <t>蓝发</t>
  </si>
  <si>
    <t>蕾姆、洛琪希</t>
  </si>
  <si>
    <t>Re:0、无职转生</t>
  </si>
  <si>
    <t>冷色人气王</t>
  </si>
  <si>
    <t>红发</t>
  </si>
  <si>
    <t>艾莉丝、露比</t>
  </si>
  <si>
    <t>无职转生、我推的孩子</t>
  </si>
  <si>
    <t>热情冲动系</t>
  </si>
  <si>
    <t>橙发</t>
  </si>
  <si>
    <t>钉崎野蔷薇、喜多郁代</t>
  </si>
  <si>
    <t>咒术回战、孤独摇滚</t>
  </si>
  <si>
    <t>阳光活泼</t>
  </si>
  <si>
    <t>紫发</t>
  </si>
  <si>
    <t>朱菜、间桐樱</t>
  </si>
  <si>
    <t>转生史莱姆、Fate</t>
  </si>
  <si>
    <t>神秘优雅</t>
  </si>
  <si>
    <t>黑发</t>
  </si>
  <si>
    <t>猫猫、三笠、约尔</t>
  </si>
  <si>
    <t>药屋少女的呢喃、进击的巨人、间谍过家家</t>
  </si>
  <si>
    <t>永恒经典</t>
  </si>
  <si>
    <t>绿发</t>
  </si>
  <si>
    <t>稀有但出圈</t>
  </si>
  <si>
    <t>渐变/挑染</t>
  </si>
  <si>
    <t>喜多郁代、喜多川海梦、甘露寺蜜璃</t>
  </si>
  <si>
    <t>孤独摇滚、更衣人偶坠入爱河、鬼灭之刃</t>
  </si>
  <si>
    <t>层次感时尚</t>
  </si>
  <si>
    <t>芦毛/灰白</t>
  </si>
  <si>
    <t>小栗帽</t>
  </si>
  <si>
    <t>赛马娘芦毛灰姑娘</t>
  </si>
  <si>
    <t>马娘特色发色</t>
  </si>
  <si>
    <t>银蓝渐变</t>
  </si>
  <si>
    <t>洛琪希</t>
  </si>
  <si>
    <t>无职转生</t>
  </si>
  <si>
    <t>导师系冷色调</t>
  </si>
  <si>
    <t>樱粉渐变</t>
  </si>
  <si>
    <t>发梢渐变吸睛</t>
  </si>
  <si>
    <t>大眼+高光</t>
  </si>
  <si>
    <t>全体女主</t>
  </si>
  <si>
    <t>—</t>
  </si>
  <si>
    <t>日漫脸标配</t>
  </si>
  <si>
    <t>异色瞳</t>
  </si>
  <si>
    <t>时崎狂三</t>
  </si>
  <si>
    <t>约会大作战</t>
  </si>
  <si>
    <t>金×红时钟眼</t>
  </si>
  <si>
    <t>红瞳</t>
  </si>
  <si>
    <t>帕瓦、露比</t>
  </si>
  <si>
    <t>电锯人、我推的孩子</t>
  </si>
  <si>
    <t>妖异感</t>
  </si>
  <si>
    <t>紫瞳</t>
  </si>
  <si>
    <t>艾米莉娅、芙莉莲</t>
  </si>
  <si>
    <t>Re:0、葬送的芙莉莲</t>
  </si>
  <si>
    <t>配银发双重 buff</t>
  </si>
  <si>
    <t>蓝瞳</t>
  </si>
  <si>
    <t>蕾姆、后藤一里</t>
  </si>
  <si>
    <t>Re:0、孤独摇滚</t>
  </si>
  <si>
    <t>清透感</t>
  </si>
  <si>
    <t>下垂眼</t>
  </si>
  <si>
    <t>椎名真昼</t>
  </si>
  <si>
    <t>关于邻家天使大人</t>
  </si>
  <si>
    <t>柔和无害感</t>
  </si>
  <si>
    <t>狐狸眼/吊梢眼</t>
  </si>
  <si>
    <t>玛奇玛、雪之下雪乃</t>
  </si>
  <si>
    <t>电锯人、春物</t>
  </si>
  <si>
    <t>精明魅惑</t>
  </si>
  <si>
    <t>三白眼</t>
  </si>
  <si>
    <t>山田凉</t>
  </si>
  <si>
    <t>孤独摇滚</t>
  </si>
  <si>
    <t>冷淡系标志</t>
  </si>
  <si>
    <t>泪痣</t>
  </si>
  <si>
    <t>一色伊吕波</t>
  </si>
  <si>
    <t>春物</t>
  </si>
  <si>
    <t>魅惑点缀</t>
  </si>
  <si>
    <t>雀斑</t>
  </si>
  <si>
    <t>元气/幼态系辅助萌点</t>
  </si>
  <si>
    <t>星星眼</t>
  </si>
  <si>
    <t>后藤一里</t>
  </si>
  <si>
    <t>情绪放大镜</t>
  </si>
  <si>
    <t>獠牙/尖牙</t>
  </si>
  <si>
    <t>帕瓦</t>
  </si>
  <si>
    <t>电锯人</t>
  </si>
  <si>
    <t>野性恶魔感</t>
  </si>
  <si>
    <t>娇小</t>
  </si>
  <si>
    <t>阿尼亚、栖夜公主</t>
  </si>
  <si>
    <t>间谍过家家、在魔王城说晚安</t>
  </si>
  <si>
    <t>小只萌</t>
  </si>
  <si>
    <t>高挑</t>
  </si>
  <si>
    <t>玛奇玛、薇尔莉特、蕾娜</t>
  </si>
  <si>
    <t>电锯人、紫罗兰永恒花园、86 不存在的战区</t>
  </si>
  <si>
    <t>气场担当</t>
  </si>
  <si>
    <t>丰满/前凸后翘</t>
  </si>
  <si>
    <t>约尔、玛奇玛</t>
  </si>
  <si>
    <t>间谍过家家、电锯人</t>
  </si>
  <si>
    <t>成熟曲线</t>
  </si>
  <si>
    <t>巨乳/大胸</t>
  </si>
  <si>
    <t>费伦、赫斯提亚</t>
  </si>
  <si>
    <t>葬送的芙莉莲、地错</t>
  </si>
  <si>
    <t>官方画风强调曲线的商业卖点</t>
  </si>
  <si>
    <t>贫乳/平胸</t>
  </si>
  <si>
    <t>后藤一里、帕瓦</t>
  </si>
  <si>
    <t>孤独摇滚、电锯人</t>
  </si>
  <si>
    <t>萌系标签</t>
  </si>
  <si>
    <t>细腰/蜂腰</t>
  </si>
  <si>
    <t>薇尔莉特、锦木千束</t>
  </si>
  <si>
    <t>紫罗兰永恒花园、莉可丽丝</t>
  </si>
  <si>
    <t>衣装剪裁强调</t>
  </si>
  <si>
    <t>大长腿</t>
  </si>
  <si>
    <t>锦木千束、玛奇玛</t>
  </si>
  <si>
    <t>莉可丽丝、电锯人</t>
  </si>
  <si>
    <t>比例感</t>
  </si>
  <si>
    <t>肉感/微胖</t>
  </si>
  <si>
    <t>中野五月</t>
  </si>
  <si>
    <t>五等分的新娘</t>
  </si>
  <si>
    <t>软萌治愈</t>
  </si>
  <si>
    <t>纤细/骨感</t>
  </si>
  <si>
    <t>芙莉莲、希露菲</t>
  </si>
  <si>
    <t>葬送的芙莉莲、无职转生</t>
  </si>
  <si>
    <t>轻盈感</t>
  </si>
  <si>
    <t>运动身材</t>
  </si>
  <si>
    <t>钉崎野蔷薇、三笠、绫濑桃</t>
  </si>
  <si>
    <t>咒术回战、进击的巨人、胆大党</t>
  </si>
  <si>
    <t>紧致肌肉线条</t>
  </si>
  <si>
    <t>娇小丰满（反差体型）</t>
  </si>
  <si>
    <t>赫斯提亚</t>
  </si>
  <si>
    <t>地错</t>
  </si>
  <si>
    <t>童颜+曲线的反差标签</t>
  </si>
  <si>
    <t>锁骨/肩颈线条</t>
  </si>
  <si>
    <t>玛奇玛、薇尔莉特</t>
  </si>
  <si>
    <t>电锯人、紫罗兰永恒花园</t>
  </si>
  <si>
    <t>露肩服装强调点</t>
  </si>
  <si>
    <t>幼女（6~10 岁）</t>
  </si>
  <si>
    <t>国民级幼女</t>
  </si>
  <si>
    <t>萝莉（11~14 岁）</t>
  </si>
  <si>
    <t>白咲花</t>
  </si>
  <si>
    <t>天使降临到我身边</t>
  </si>
  <si>
    <t>萝莉萌系代表</t>
  </si>
  <si>
    <t>少女（14~17 岁）</t>
  </si>
  <si>
    <t>中野四叶、钉崎野蔷薇</t>
  </si>
  <si>
    <t>五等分的新娘、咒术回战</t>
  </si>
  <si>
    <t>校园番主力</t>
  </si>
  <si>
    <t>女高中生</t>
  </si>
  <si>
    <t>喜多郁代、绫濑桃</t>
  </si>
  <si>
    <t>孤独摇滚、胆大党</t>
  </si>
  <si>
    <t>青春番绝对主力</t>
  </si>
  <si>
    <t>大学生/成人初期</t>
  </si>
  <si>
    <t>冰室菖蒲</t>
  </si>
  <si>
    <t>理科生坠入情网</t>
  </si>
  <si>
    <t>大学生恋喜剧</t>
  </si>
  <si>
    <t>御姐/大姐姐</t>
  </si>
  <si>
    <t>成熟魅力</t>
  </si>
  <si>
    <t>人妻</t>
  </si>
  <si>
    <t>约尔</t>
  </si>
  <si>
    <t>人妻属性爆棚</t>
  </si>
  <si>
    <t>妈妈系</t>
  </si>
  <si>
    <t>养母属性温柔可靠</t>
  </si>
  <si>
    <t>成年娇小体型</t>
  </si>
  <si>
    <t>芙莉莲</t>
  </si>
  <si>
    <t>葬送的芙莉莲</t>
  </si>
  <si>
    <t>外表幼态但成年，年龄反差</t>
  </si>
  <si>
    <t>老奶奶系（稀有）</t>
  </si>
  <si>
    <t>多用于搞笑/奇幻番设定</t>
  </si>
  <si>
    <t>水手服</t>
  </si>
  <si>
    <t>玉木真理等</t>
  </si>
  <si>
    <t>比宇宙更远的地方</t>
  </si>
  <si>
    <t>日式校服经典</t>
  </si>
  <si>
    <t>西装校服+格裙</t>
  </si>
  <si>
    <t>四宫辉夜、堀北铃音</t>
  </si>
  <si>
    <t>辉夜大小姐想让我告白、实教</t>
  </si>
  <si>
    <t>精英学园感</t>
  </si>
  <si>
    <t>巫女服</t>
  </si>
  <si>
    <t>神乐舞名场面</t>
  </si>
  <si>
    <t>和服/浴衣</t>
  </si>
  <si>
    <t>祢豆子、猫猫</t>
  </si>
  <si>
    <t>鬼灭之刃、药屋少女的呢喃</t>
  </si>
  <si>
    <t>大和抚子感</t>
  </si>
  <si>
    <t>女仆装</t>
  </si>
  <si>
    <t>蕾姆、早坂爱</t>
  </si>
  <si>
    <t>Re:0、辉夜大小姐想让我告白</t>
  </si>
  <si>
    <t>萌系代表装</t>
  </si>
  <si>
    <t>兔女郎装</t>
  </si>
  <si>
    <t>樱岛麻衣</t>
  </si>
  <si>
    <t>青春猪头少年不会梦到兔女郎学姐</t>
  </si>
  <si>
    <t>招牌造型</t>
  </si>
  <si>
    <t>魔女装/尖帽</t>
  </si>
  <si>
    <t>伊蕾娜、可可</t>
  </si>
  <si>
    <t>魔女之旅、尖帽子的魔法工坊</t>
  </si>
  <si>
    <t>奇幻标配</t>
  </si>
  <si>
    <t>魔法少女变身服</t>
  </si>
  <si>
    <t>光之美少女系列</t>
  </si>
  <si>
    <t>光之美少女</t>
  </si>
  <si>
    <t>变身系经典</t>
  </si>
  <si>
    <t>军服</t>
  </si>
  <si>
    <t>蕾娜</t>
  </si>
  <si>
    <t>86 不存在的战区</t>
  </si>
  <si>
    <t>制服系人气</t>
  </si>
  <si>
    <t>骑士/战斗装</t>
  </si>
  <si>
    <t>亚丝娜、艾斯</t>
  </si>
  <si>
    <t>刀剑神域、地错</t>
  </si>
  <si>
    <t>白红战裙</t>
  </si>
  <si>
    <t>黑西装特工服</t>
  </si>
  <si>
    <t>锦木千束、井之上泷奈</t>
  </si>
  <si>
    <t>利落黑西装+红领带</t>
  </si>
  <si>
    <t>体操服</t>
  </si>
  <si>
    <t>中野五姐妹</t>
  </si>
  <si>
    <t>体育课经典场景装</t>
  </si>
  <si>
    <t>泳装</t>
  </si>
  <si>
    <t>小舟潮</t>
  </si>
  <si>
    <t>夏日重现</t>
  </si>
  <si>
    <t>连体泳装+开衫</t>
  </si>
  <si>
    <t>睡衣/居家服</t>
  </si>
  <si>
    <t>栖夜公主、后藤一里</t>
  </si>
  <si>
    <t>在魔王城说晚安、孤独摇滚</t>
  </si>
  <si>
    <t>宅家萌点</t>
  </si>
  <si>
    <t>居家围裙</t>
  </si>
  <si>
    <t>杀手×主妇反差</t>
  </si>
  <si>
    <t>连帽衫/运动服</t>
  </si>
  <si>
    <t>粉兜帽标志</t>
  </si>
  <si>
    <t>百褶短裙</t>
  </si>
  <si>
    <t>校园标配</t>
  </si>
  <si>
    <t>洋装/连衣裙</t>
  </si>
  <si>
    <t>樱岛麻衣、薇尔莉特</t>
  </si>
  <si>
    <t>青春猪头少年不会梦到兔女郎学姐、紫罗兰永恒花园</t>
  </si>
  <si>
    <t>优雅私服</t>
  </si>
  <si>
    <t>公主裙/蓬蓬裙</t>
  </si>
  <si>
    <t>佩可</t>
  </si>
  <si>
    <t>公主连结</t>
  </si>
  <si>
    <t>华丽感</t>
  </si>
  <si>
    <t>哥特萝莉装</t>
  </si>
  <si>
    <t>暗黑华丽</t>
  </si>
  <si>
    <t>旗袍</t>
  </si>
  <si>
    <t>喜多川海梦</t>
  </si>
  <si>
    <t>更衣人偶坠入爱河</t>
  </si>
  <si>
    <t>多以 cos/节日回出现</t>
  </si>
  <si>
    <t>护士服</t>
  </si>
  <si>
    <t>以 cos 形态出现</t>
  </si>
  <si>
    <t>修女服</t>
  </si>
  <si>
    <t>圣职系角色</t>
  </si>
  <si>
    <t>奇幻番常见</t>
  </si>
  <si>
    <t>圣洁系</t>
  </si>
  <si>
    <t>白大褂/研究员</t>
  </si>
  <si>
    <t>科学家萌点</t>
  </si>
  <si>
    <t>圣诞装</t>
  </si>
  <si>
    <t>节日限定装</t>
  </si>
  <si>
    <t>汉服/中式宫廷装</t>
  </si>
  <si>
    <t>中华风</t>
  </si>
  <si>
    <t>皇族礼服/圣女装</t>
  </si>
  <si>
    <t>贵族感</t>
  </si>
  <si>
    <t>皮衣/机车装</t>
  </si>
  <si>
    <t>露西</t>
  </si>
  <si>
    <t>赛博朋克：边缘行者</t>
  </si>
  <si>
    <t>酷感</t>
  </si>
  <si>
    <t>婚纱/白无垢</t>
  </si>
  <si>
    <t>剧场版名场面</t>
  </si>
  <si>
    <t>cos服/变装</t>
  </si>
  <si>
    <t>cosplay 系顶流</t>
  </si>
  <si>
    <t>决胜服/竞技服</t>
  </si>
  <si>
    <t>赛马娘</t>
  </si>
  <si>
    <t>赛场闪耀装</t>
  </si>
  <si>
    <t>兽耳</t>
  </si>
  <si>
    <t>赛马娘众、拉芙塔莉亚</t>
  </si>
  <si>
    <t>赛马娘、盾之勇者成名录</t>
  </si>
  <si>
    <t>马耳/浣熊耳</t>
  </si>
  <si>
    <t>尾巴</t>
  </si>
  <si>
    <t>拉芙塔莉亚、赛马娘</t>
  </si>
  <si>
    <t>盾之勇者成名录、赛马娘</t>
  </si>
  <si>
    <t>兽娘萌点</t>
  </si>
  <si>
    <t>角</t>
  </si>
  <si>
    <t>祢豆子、米莉姆</t>
  </si>
  <si>
    <t>鬼灭之刃、转生史莱姆</t>
  </si>
  <si>
    <t>鬼角/龙角</t>
  </si>
  <si>
    <t>翅膀/光环</t>
  </si>
  <si>
    <t>天使系/恶魔系角色</t>
  </si>
  <si>
    <t>异世界番标配</t>
  </si>
  <si>
    <t>非人要素</t>
  </si>
  <si>
    <t>蝴蝶结发饰</t>
  </si>
  <si>
    <t>祢豆子、锦木千束</t>
  </si>
  <si>
    <t>鬼灭之刃、莉可丽丝</t>
  </si>
  <si>
    <t>发饰点睛</t>
  </si>
  <si>
    <t>眼镜</t>
  </si>
  <si>
    <t>伊井野弥子、灰原哀</t>
  </si>
  <si>
    <t>辉夜大小姐想让我告白、名侦探柯南</t>
  </si>
  <si>
    <t>眼镜娘经典</t>
  </si>
  <si>
    <t>领带/领结</t>
  </si>
  <si>
    <t>红领带记忆点</t>
  </si>
  <si>
    <t>过膝袜/黑丝</t>
  </si>
  <si>
    <t>中野二乃等</t>
  </si>
  <si>
    <t>五等分的新娘、辉夜大小姐想让我告白</t>
  </si>
  <si>
    <t>绝对领域经典</t>
  </si>
  <si>
    <t>白丝</t>
  </si>
  <si>
    <t>圣洁感</t>
  </si>
  <si>
    <t>渔网袜</t>
  </si>
  <si>
    <t>铃木实优</t>
  </si>
  <si>
    <t>相反的你和我</t>
  </si>
  <si>
    <t>辣妹系配件</t>
  </si>
  <si>
    <t>choker/项圈</t>
  </si>
  <si>
    <t>辣妹系标志</t>
  </si>
  <si>
    <t>耳环/耳坠</t>
  </si>
  <si>
    <t>华丽系点缀</t>
  </si>
  <si>
    <t>项链/吊坠</t>
  </si>
  <si>
    <t>常与校服/私服搭配</t>
  </si>
  <si>
    <t>腰带/腰封</t>
  </si>
  <si>
    <t>收腰显身形</t>
  </si>
  <si>
    <t>纹身/刺青</t>
  </si>
  <si>
    <t>多用于黑道/异世界设定</t>
  </si>
  <si>
    <t>面具/口罩</t>
  </si>
  <si>
    <t>社恐遮面萌点</t>
  </si>
  <si>
    <t>单眼罩</t>
  </si>
  <si>
    <t>神秘侦探感</t>
  </si>
  <si>
    <t>发带/发箍</t>
  </si>
  <si>
    <t>赫斯提亚、宫水三叶</t>
  </si>
  <si>
    <t>地错、你的名字</t>
  </si>
  <si>
    <t>蓝丝带/红绳点睛</t>
  </si>
  <si>
    <t>头纱/面纱</t>
  </si>
  <si>
    <t>婚纱/舞会限定</t>
  </si>
  <si>
    <t>手套</t>
  </si>
  <si>
    <t>薇尔莉特、蕾娜</t>
  </si>
  <si>
    <t>紫罗兰永恒花园、86 不存在的战区</t>
  </si>
  <si>
    <t>义手白手套</t>
  </si>
  <si>
    <t>丝巾/围巾</t>
  </si>
  <si>
    <t>玉木真理</t>
  </si>
  <si>
    <t>冬季/旅行感</t>
  </si>
  <si>
    <t>娇小萝莉</t>
  </si>
  <si>
    <t>高挑御姐</t>
  </si>
  <si>
    <t>玛奇玛、约尔、薇尔莉特</t>
  </si>
  <si>
    <t>电锯人、间谍过家家、紫罗兰永恒花园</t>
  </si>
  <si>
    <t>元气系</t>
  </si>
  <si>
    <t>喜多郁代、丽日御茶子、玉木真理</t>
  </si>
  <si>
    <t>孤独摇滚、我的英雄学院、比宇宙更远的地方</t>
  </si>
  <si>
    <t>阳光开朗</t>
  </si>
  <si>
    <t>三无/冷面</t>
  </si>
  <si>
    <t>三笠、山田凉</t>
  </si>
  <si>
    <t>进击的巨人、孤独摇滚</t>
  </si>
  <si>
    <t>话少酷姐</t>
  </si>
  <si>
    <t>傲娇</t>
  </si>
  <si>
    <t>中野二乃、雪之下雪乃、院田唐音</t>
  </si>
  <si>
    <t>五等分的新娘、春物、100女友</t>
  </si>
  <si>
    <t>经久不衰</t>
  </si>
  <si>
    <t>病娇</t>
  </si>
  <si>
    <t>玛奇玛、我妻由乃</t>
  </si>
  <si>
    <t>电锯人、未来日记</t>
  </si>
  <si>
    <t>黑化魅力</t>
  </si>
  <si>
    <t>反差萌</t>
  </si>
  <si>
    <t>约尔、锦木千束、后藤一里</t>
  </si>
  <si>
    <t>间谍过家家、莉可丽丝、孤独摇滚</t>
  </si>
  <si>
    <t>近十年最强钩子</t>
  </si>
  <si>
    <t>治愈系</t>
  </si>
  <si>
    <t>艾米莉娅、椎名真昼</t>
  </si>
  <si>
    <t>Re:0、关于邻家天使大人</t>
  </si>
  <si>
    <t>温柔圣女</t>
  </si>
  <si>
    <t>运动/爽朗系</t>
  </si>
  <si>
    <t>钉崎野蔷薇、绫濑桃</t>
  </si>
  <si>
    <t>咒术回战、胆大党</t>
  </si>
  <si>
    <t>热血系</t>
  </si>
  <si>
    <t>无口/天然呆</t>
  </si>
  <si>
    <t>阿波连玲奈、藤原千花</t>
  </si>
  <si>
    <t>测不准的阿波连同学、辉夜大小姐想让我告白</t>
  </si>
  <si>
    <t>极端两端</t>
  </si>
  <si>
    <t>腹黑</t>
  </si>
  <si>
    <t>智斗系</t>
  </si>
  <si>
    <t>毒舌</t>
  </si>
  <si>
    <t>山田凉、雪之下雪乃</t>
  </si>
  <si>
    <t>孤独摇滚、春物</t>
  </si>
  <si>
    <t>锐利吐槽</t>
  </si>
  <si>
    <t>女王/支配系</t>
  </si>
  <si>
    <t>玛奇玛</t>
  </si>
  <si>
    <t>掌控感</t>
  </si>
  <si>
    <t>妹系</t>
  </si>
  <si>
    <t>蕾姆</t>
  </si>
  <si>
    <t>妹妹属性</t>
  </si>
  <si>
    <t>姐系</t>
  </si>
  <si>
    <t>约尔、早坂爱</t>
  </si>
  <si>
    <t>间谍过家家、辉夜大小姐想让我告白</t>
  </si>
  <si>
    <t>可靠大姐姐</t>
  </si>
  <si>
    <t>妈妈系/人妻</t>
  </si>
  <si>
    <t>家庭感</t>
  </si>
  <si>
    <t>大小姐</t>
  </si>
  <si>
    <t>四宫辉夜、中野二乃</t>
  </si>
  <si>
    <t>辉夜大小姐想让我告白、五等分的新娘</t>
  </si>
  <si>
    <t>名门千金</t>
  </si>
  <si>
    <t>公主</t>
  </si>
  <si>
    <t>栖夜公主、佩可</t>
  </si>
  <si>
    <t>在魔王城说晚安、公主连结</t>
  </si>
  <si>
    <t>王族设定</t>
  </si>
  <si>
    <t>偶像</t>
  </si>
  <si>
    <t>星野爱</t>
  </si>
  <si>
    <t>我推的孩子</t>
  </si>
  <si>
    <t>舞台闪耀</t>
  </si>
  <si>
    <t>魔法使/魔女</t>
  </si>
  <si>
    <t>伊蕾娜、芙莉莲</t>
  </si>
  <si>
    <t>魔女之旅、葬送的芙莉莲</t>
  </si>
  <si>
    <t>奇幻职业</t>
  </si>
  <si>
    <t>杀手/忍者</t>
  </si>
  <si>
    <t>职业反差</t>
  </si>
  <si>
    <t>军人/战士</t>
  </si>
  <si>
    <t>三笠、蕾娜、钉崎野蔷薇</t>
  </si>
  <si>
    <t>进击的巨人、86 不存在的战区、咒术回战</t>
  </si>
  <si>
    <t>战斗职业</t>
  </si>
  <si>
    <t>科学家/研究员</t>
  </si>
  <si>
    <t>理性萌点</t>
  </si>
  <si>
    <t>病弱系</t>
  </si>
  <si>
    <t>牧之原翔子</t>
  </si>
  <si>
    <t>纤细脆弱感</t>
  </si>
  <si>
    <t>电波/中二病</t>
  </si>
  <si>
    <t>小鸟游六花、后藤一里</t>
  </si>
  <si>
    <t>中二病也要谈恋爱、孤独摇滚</t>
  </si>
  <si>
    <t>脑内世界丰富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</si>
</sst>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workbookViewId="0">
      <selection activeCell="F13" sqref="F13"/>
    </sheetView>
  </sheetViews>
  <sheetFormatPr defaultColWidth="9" defaultRowHeight="13.5" outlineLevelCol="4"/>
  <cols>
    <col min="1" max="1" width="12" customWidth="1"/>
    <col min="2" max="2" width="9" customWidth="1"/>
    <col min="3" max="3" width="34" customWidth="1"/>
    <col min="4" max="4" width="36" customWidth="1"/>
    <col min="5" max="5" width="11.5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</row>
    <row r="2" ht="27" spans="1:5">
      <c r="A2" s="2" t="s">
        <v>5</v>
      </c>
      <c r="B2" s="2">
        <f>COUNTIF(要素图鉴!$B:$B,$A2)</f>
        <v>20</v>
      </c>
      <c r="C2" s="3" t="s">
        <v>6</v>
      </c>
      <c r="D2" s="3" t="s">
        <v>7</v>
      </c>
      <c r="E2">
        <f>B2*B3*B4*B5*B6*B7*B8*B9</f>
        <v>7030800000</v>
      </c>
    </row>
    <row r="3" ht="27" spans="1:5">
      <c r="A3" s="2" t="s">
        <v>8</v>
      </c>
      <c r="B3" s="2">
        <f>COUNTIF(要素图鉴!$B:$B,$A3)</f>
        <v>15</v>
      </c>
      <c r="C3" s="3" t="s">
        <v>9</v>
      </c>
      <c r="D3" s="3" t="s">
        <v>10</v>
      </c>
    </row>
    <row r="4" ht="27" spans="1:5">
      <c r="A4" s="2" t="s">
        <v>11</v>
      </c>
      <c r="B4" s="2">
        <f>COUNTIF(要素图鉴!$B:$B,$A4)</f>
        <v>12</v>
      </c>
      <c r="C4" s="3" t="s">
        <v>12</v>
      </c>
      <c r="D4" s="3" t="s">
        <v>13</v>
      </c>
    </row>
    <row r="5" spans="1:5">
      <c r="A5" s="2" t="s">
        <v>14</v>
      </c>
      <c r="B5" s="2">
        <f>COUNTIF(要素图鉴!$B:$B,$A5)</f>
        <v>12</v>
      </c>
      <c r="C5" s="3" t="s">
        <v>15</v>
      </c>
      <c r="D5" s="3" t="s">
        <v>16</v>
      </c>
    </row>
    <row r="6" spans="1:5">
      <c r="A6" s="2" t="s">
        <v>17</v>
      </c>
      <c r="B6" s="2">
        <f>COUNTIF(要素图鉴!$B:$B,$A6)</f>
        <v>10</v>
      </c>
      <c r="C6" s="3" t="s">
        <v>18</v>
      </c>
      <c r="D6" s="3" t="s">
        <v>19</v>
      </c>
    </row>
    <row r="7" ht="27" spans="1:5">
      <c r="A7" s="2" t="s">
        <v>20</v>
      </c>
      <c r="B7" s="2">
        <f>COUNTIF(要素图鉴!$B:$B,$A7)</f>
        <v>31</v>
      </c>
      <c r="C7" s="3" t="s">
        <v>21</v>
      </c>
      <c r="D7" s="3" t="s">
        <v>22</v>
      </c>
    </row>
    <row r="8" spans="1:5">
      <c r="A8" s="2" t="s">
        <v>23</v>
      </c>
      <c r="B8" s="2">
        <f>COUNTIF(要素图鉴!$B:$B,$A8)</f>
        <v>21</v>
      </c>
      <c r="C8" s="3" t="s">
        <v>24</v>
      </c>
      <c r="D8" s="3" t="s">
        <v>25</v>
      </c>
    </row>
    <row r="9" spans="1:5">
      <c r="A9" s="2" t="s">
        <v>26</v>
      </c>
      <c r="B9" s="2">
        <f>COUNTIF(要素图鉴!$B:$B,$A9)</f>
        <v>25</v>
      </c>
      <c r="C9" s="3" t="s">
        <v>27</v>
      </c>
      <c r="D9" s="3" t="s">
        <v>28</v>
      </c>
    </row>
    <row r="10" spans="1:5">
      <c r="A10" s="4" t="s">
        <v>29</v>
      </c>
      <c r="B10" s="4">
        <f>SUM(B2:B9)</f>
        <v>146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7"/>
  <sheetViews>
    <sheetView tabSelected="1" workbookViewId="0">
      <pane ySplit="1" topLeftCell="A86" activePane="bottomLeft" state="frozen"/>
      <selection/>
      <selection pane="bottomLeft" activeCell="C122" sqref="C102:C122"/>
    </sheetView>
  </sheetViews>
  <sheetFormatPr defaultColWidth="9" defaultRowHeight="13.5" outlineLevelCol="5"/>
  <cols>
    <col min="1" max="1" width="7" customWidth="1"/>
    <col min="2" max="2" width="12" customWidth="1"/>
    <col min="3" max="3" width="18" customWidth="1"/>
    <col min="4" max="4" width="28" customWidth="1"/>
    <col min="5" max="5" width="34" customWidth="1"/>
    <col min="6" max="6" width="30" customWidth="1"/>
  </cols>
  <sheetData>
    <row r="1" spans="1:6">
      <c r="A1" s="1" t="s">
        <v>30</v>
      </c>
      <c r="B1" s="1" t="s">
        <v>0</v>
      </c>
      <c r="C1" s="1" t="s">
        <v>31</v>
      </c>
      <c r="D1" s="1" t="s">
        <v>32</v>
      </c>
      <c r="E1" s="1" t="s">
        <v>33</v>
      </c>
      <c r="F1" s="1" t="s">
        <v>34</v>
      </c>
    </row>
    <row r="2" spans="1:6">
      <c r="A2" s="2">
        <v>1</v>
      </c>
      <c r="B2" s="2" t="s">
        <v>5</v>
      </c>
      <c r="C2" s="2" t="s">
        <v>35</v>
      </c>
      <c r="D2" t="s">
        <v>36</v>
      </c>
      <c r="E2" t="s">
        <v>37</v>
      </c>
      <c r="F2" s="3" t="s">
        <v>38</v>
      </c>
    </row>
    <row r="3" spans="1:6">
      <c r="A3" s="2">
        <v>2</v>
      </c>
      <c r="B3" s="2" t="s">
        <v>5</v>
      </c>
      <c r="C3" s="2" t="s">
        <v>39</v>
      </c>
      <c r="D3" t="s">
        <v>40</v>
      </c>
      <c r="E3" t="s">
        <v>41</v>
      </c>
      <c r="F3" s="3" t="s">
        <v>42</v>
      </c>
    </row>
    <row r="4" spans="1:6">
      <c r="A4" s="2">
        <v>3</v>
      </c>
      <c r="B4" s="2" t="s">
        <v>5</v>
      </c>
      <c r="C4" s="2" t="s">
        <v>43</v>
      </c>
      <c r="D4" t="s">
        <v>44</v>
      </c>
      <c r="E4" t="s">
        <v>45</v>
      </c>
      <c r="F4" s="3" t="s">
        <v>46</v>
      </c>
    </row>
    <row r="5" spans="1:6">
      <c r="A5" s="2">
        <v>4</v>
      </c>
      <c r="B5" s="2" t="s">
        <v>5</v>
      </c>
      <c r="C5" s="2" t="s">
        <v>47</v>
      </c>
      <c r="D5" t="s">
        <v>48</v>
      </c>
      <c r="E5" t="s">
        <v>49</v>
      </c>
      <c r="F5" s="3" t="s">
        <v>50</v>
      </c>
    </row>
    <row r="6" spans="1:6">
      <c r="A6" s="2">
        <v>5</v>
      </c>
      <c r="B6" s="2" t="s">
        <v>5</v>
      </c>
      <c r="C6" s="2" t="s">
        <v>51</v>
      </c>
      <c r="D6" t="s">
        <v>52</v>
      </c>
      <c r="E6" t="s">
        <v>53</v>
      </c>
      <c r="F6" s="3" t="s">
        <v>54</v>
      </c>
    </row>
    <row r="7" spans="1:6">
      <c r="A7" s="2">
        <v>6</v>
      </c>
      <c r="B7" s="2" t="s">
        <v>5</v>
      </c>
      <c r="C7" s="2" t="s">
        <v>55</v>
      </c>
      <c r="D7" t="s">
        <v>56</v>
      </c>
      <c r="E7" t="s">
        <v>57</v>
      </c>
      <c r="F7" s="3" t="s">
        <v>58</v>
      </c>
    </row>
    <row r="8" spans="1:6">
      <c r="A8" s="2">
        <v>7</v>
      </c>
      <c r="B8" s="2" t="s">
        <v>5</v>
      </c>
      <c r="C8" s="2" t="s">
        <v>59</v>
      </c>
      <c r="D8" t="s">
        <v>60</v>
      </c>
      <c r="E8" t="s">
        <v>61</v>
      </c>
      <c r="F8" s="3" t="s">
        <v>62</v>
      </c>
    </row>
    <row r="9" spans="1:6">
      <c r="A9" s="2">
        <v>8</v>
      </c>
      <c r="B9" s="2" t="s">
        <v>5</v>
      </c>
      <c r="C9" s="2" t="s">
        <v>63</v>
      </c>
      <c r="D9" t="s">
        <v>64</v>
      </c>
      <c r="E9" t="s">
        <v>65</v>
      </c>
      <c r="F9" s="3" t="s">
        <v>66</v>
      </c>
    </row>
    <row r="10" spans="1:6">
      <c r="A10" s="2">
        <v>9</v>
      </c>
      <c r="B10" s="2" t="s">
        <v>5</v>
      </c>
      <c r="C10" s="2" t="s">
        <v>67</v>
      </c>
      <c r="D10" t="s">
        <v>68</v>
      </c>
      <c r="E10" t="s">
        <v>69</v>
      </c>
      <c r="F10" s="3" t="s">
        <v>70</v>
      </c>
    </row>
    <row r="11" spans="1:6">
      <c r="A11" s="2">
        <v>10</v>
      </c>
      <c r="B11" s="2" t="s">
        <v>5</v>
      </c>
      <c r="C11" s="2" t="s">
        <v>71</v>
      </c>
      <c r="D11" t="s">
        <v>72</v>
      </c>
      <c r="E11" t="s">
        <v>73</v>
      </c>
      <c r="F11" s="3" t="s">
        <v>74</v>
      </c>
    </row>
    <row r="12" spans="1:6">
      <c r="A12" s="2">
        <v>11</v>
      </c>
      <c r="B12" s="2" t="s">
        <v>5</v>
      </c>
      <c r="C12" s="2" t="s">
        <v>75</v>
      </c>
      <c r="D12" t="s">
        <v>76</v>
      </c>
      <c r="E12" t="s">
        <v>77</v>
      </c>
      <c r="F12" s="3" t="s">
        <v>78</v>
      </c>
    </row>
    <row r="13" spans="1:6">
      <c r="A13" s="2">
        <v>12</v>
      </c>
      <c r="B13" s="2" t="s">
        <v>5</v>
      </c>
      <c r="C13" s="2" t="s">
        <v>79</v>
      </c>
      <c r="D13" t="s">
        <v>80</v>
      </c>
      <c r="E13" t="s">
        <v>81</v>
      </c>
      <c r="F13" s="3" t="s">
        <v>82</v>
      </c>
    </row>
    <row r="14" spans="1:6">
      <c r="A14" s="2">
        <v>13</v>
      </c>
      <c r="B14" s="2" t="s">
        <v>5</v>
      </c>
      <c r="C14" s="2" t="s">
        <v>83</v>
      </c>
      <c r="D14" t="s">
        <v>84</v>
      </c>
      <c r="E14" t="s">
        <v>85</v>
      </c>
      <c r="F14" s="3" t="s">
        <v>86</v>
      </c>
    </row>
    <row r="15" spans="1:6">
      <c r="A15" s="2">
        <v>14</v>
      </c>
      <c r="B15" s="2" t="s">
        <v>5</v>
      </c>
      <c r="C15" s="2" t="s">
        <v>87</v>
      </c>
      <c r="D15" t="s">
        <v>88</v>
      </c>
      <c r="E15" t="s">
        <v>89</v>
      </c>
      <c r="F15" s="3" t="s">
        <v>90</v>
      </c>
    </row>
    <row r="16" spans="1:6">
      <c r="A16" s="2">
        <v>15</v>
      </c>
      <c r="B16" s="2" t="s">
        <v>5</v>
      </c>
      <c r="C16" s="2" t="s">
        <v>91</v>
      </c>
      <c r="D16" t="s">
        <v>92</v>
      </c>
      <c r="E16" t="s">
        <v>93</v>
      </c>
      <c r="F16" s="3" t="s">
        <v>94</v>
      </c>
    </row>
    <row r="17" spans="1:6">
      <c r="A17" s="2">
        <v>16</v>
      </c>
      <c r="B17" s="2" t="s">
        <v>5</v>
      </c>
      <c r="C17" s="2" t="s">
        <v>95</v>
      </c>
      <c r="D17" t="s">
        <v>96</v>
      </c>
      <c r="E17" t="s">
        <v>97</v>
      </c>
      <c r="F17" s="3" t="s">
        <v>98</v>
      </c>
    </row>
    <row r="18" spans="1:6">
      <c r="A18" s="2">
        <v>17</v>
      </c>
      <c r="B18" s="2" t="s">
        <v>5</v>
      </c>
      <c r="C18" s="2" t="s">
        <v>99</v>
      </c>
      <c r="D18" t="s">
        <v>100</v>
      </c>
      <c r="E18" t="s">
        <v>101</v>
      </c>
      <c r="F18" s="3" t="s">
        <v>102</v>
      </c>
    </row>
    <row r="19" spans="1:6">
      <c r="A19" s="2">
        <v>18</v>
      </c>
      <c r="B19" s="2" t="s">
        <v>5</v>
      </c>
      <c r="C19" s="2" t="s">
        <v>103</v>
      </c>
      <c r="D19" t="s">
        <v>104</v>
      </c>
      <c r="E19" t="s">
        <v>105</v>
      </c>
      <c r="F19" s="3" t="s">
        <v>106</v>
      </c>
    </row>
    <row r="20" spans="1:6">
      <c r="A20" s="2">
        <v>19</v>
      </c>
      <c r="B20" s="2" t="s">
        <v>5</v>
      </c>
      <c r="C20" s="2" t="s">
        <v>107</v>
      </c>
      <c r="D20" t="s">
        <v>108</v>
      </c>
      <c r="E20" t="s">
        <v>109</v>
      </c>
      <c r="F20" s="3" t="s">
        <v>110</v>
      </c>
    </row>
    <row r="21" spans="1:6">
      <c r="A21" s="2">
        <v>20</v>
      </c>
      <c r="B21" s="2" t="s">
        <v>5</v>
      </c>
      <c r="C21" s="2" t="s">
        <v>111</v>
      </c>
      <c r="D21" t="s">
        <v>112</v>
      </c>
      <c r="E21" t="s">
        <v>113</v>
      </c>
      <c r="F21" s="3" t="s">
        <v>114</v>
      </c>
    </row>
    <row r="22" spans="1:6">
      <c r="A22" s="2">
        <v>21</v>
      </c>
      <c r="B22" s="2" t="s">
        <v>8</v>
      </c>
      <c r="C22" s="2" t="s">
        <v>115</v>
      </c>
      <c r="D22" t="s">
        <v>116</v>
      </c>
      <c r="E22" t="s">
        <v>117</v>
      </c>
      <c r="F22" s="3" t="s">
        <v>118</v>
      </c>
    </row>
    <row r="23" spans="1:6">
      <c r="A23" s="2">
        <v>22</v>
      </c>
      <c r="B23" s="2" t="s">
        <v>8</v>
      </c>
      <c r="C23" s="2" t="s">
        <v>119</v>
      </c>
      <c r="D23" t="s">
        <v>120</v>
      </c>
      <c r="E23" t="s">
        <v>121</v>
      </c>
      <c r="F23" s="3" t="s">
        <v>122</v>
      </c>
    </row>
    <row r="24" spans="1:6">
      <c r="A24" s="2">
        <v>23</v>
      </c>
      <c r="B24" s="2" t="s">
        <v>8</v>
      </c>
      <c r="C24" s="2" t="s">
        <v>123</v>
      </c>
      <c r="D24" t="s">
        <v>124</v>
      </c>
      <c r="E24" t="s">
        <v>125</v>
      </c>
      <c r="F24" s="3" t="s">
        <v>126</v>
      </c>
    </row>
    <row r="25" spans="1:6">
      <c r="A25" s="2">
        <v>24</v>
      </c>
      <c r="B25" s="2" t="s">
        <v>8</v>
      </c>
      <c r="C25" s="2" t="s">
        <v>127</v>
      </c>
      <c r="D25" t="s">
        <v>128</v>
      </c>
      <c r="E25" t="s">
        <v>129</v>
      </c>
      <c r="F25" s="3" t="s">
        <v>130</v>
      </c>
    </row>
    <row r="26" spans="1:6">
      <c r="A26" s="2">
        <v>25</v>
      </c>
      <c r="B26" s="2" t="s">
        <v>8</v>
      </c>
      <c r="C26" s="2" t="s">
        <v>131</v>
      </c>
      <c r="D26" t="s">
        <v>132</v>
      </c>
      <c r="E26" t="s">
        <v>133</v>
      </c>
      <c r="F26" s="3" t="s">
        <v>134</v>
      </c>
    </row>
    <row r="27" spans="1:6">
      <c r="A27" s="2">
        <v>26</v>
      </c>
      <c r="B27" s="2" t="s">
        <v>8</v>
      </c>
      <c r="C27" s="2" t="s">
        <v>135</v>
      </c>
      <c r="D27" t="s">
        <v>136</v>
      </c>
      <c r="E27" t="s">
        <v>137</v>
      </c>
      <c r="F27" s="3" t="s">
        <v>138</v>
      </c>
    </row>
    <row r="28" spans="1:6">
      <c r="A28" s="2">
        <v>27</v>
      </c>
      <c r="B28" s="2" t="s">
        <v>8</v>
      </c>
      <c r="C28" s="2" t="s">
        <v>139</v>
      </c>
      <c r="D28" t="s">
        <v>140</v>
      </c>
      <c r="E28" t="s">
        <v>141</v>
      </c>
      <c r="F28" s="3" t="s">
        <v>142</v>
      </c>
    </row>
    <row r="29" spans="1:6">
      <c r="A29" s="2">
        <v>28</v>
      </c>
      <c r="B29" s="2" t="s">
        <v>8</v>
      </c>
      <c r="C29" s="2" t="s">
        <v>143</v>
      </c>
      <c r="D29" t="s">
        <v>144</v>
      </c>
      <c r="E29" t="s">
        <v>145</v>
      </c>
      <c r="F29" s="3" t="s">
        <v>146</v>
      </c>
    </row>
    <row r="30" spans="1:6">
      <c r="A30" s="2">
        <v>29</v>
      </c>
      <c r="B30" s="2" t="s">
        <v>8</v>
      </c>
      <c r="C30" s="2" t="s">
        <v>147</v>
      </c>
      <c r="D30" t="s">
        <v>148</v>
      </c>
      <c r="E30" t="s">
        <v>149</v>
      </c>
      <c r="F30" s="3" t="s">
        <v>150</v>
      </c>
    </row>
    <row r="31" spans="1:6">
      <c r="A31" s="2">
        <v>30</v>
      </c>
      <c r="B31" s="2" t="s">
        <v>8</v>
      </c>
      <c r="C31" s="2" t="s">
        <v>151</v>
      </c>
      <c r="D31" t="s">
        <v>152</v>
      </c>
      <c r="E31" t="s">
        <v>153</v>
      </c>
      <c r="F31" s="3" t="s">
        <v>154</v>
      </c>
    </row>
    <row r="32" spans="1:6">
      <c r="A32" s="2">
        <v>31</v>
      </c>
      <c r="B32" s="2" t="s">
        <v>8</v>
      </c>
      <c r="C32" s="2" t="s">
        <v>155</v>
      </c>
      <c r="D32" t="s">
        <v>104</v>
      </c>
      <c r="E32" t="s">
        <v>105</v>
      </c>
      <c r="F32" s="3" t="s">
        <v>156</v>
      </c>
    </row>
    <row r="33" spans="1:6">
      <c r="A33" s="2">
        <v>32</v>
      </c>
      <c r="B33" s="2" t="s">
        <v>8</v>
      </c>
      <c r="C33" s="2" t="s">
        <v>157</v>
      </c>
      <c r="D33" t="s">
        <v>158</v>
      </c>
      <c r="E33" t="s">
        <v>159</v>
      </c>
      <c r="F33" s="3" t="s">
        <v>160</v>
      </c>
    </row>
    <row r="34" spans="1:6">
      <c r="A34" s="2">
        <v>33</v>
      </c>
      <c r="B34" s="2" t="s">
        <v>8</v>
      </c>
      <c r="C34" s="2" t="s">
        <v>161</v>
      </c>
      <c r="D34" t="s">
        <v>162</v>
      </c>
      <c r="E34" t="s">
        <v>163</v>
      </c>
      <c r="F34" s="3" t="s">
        <v>164</v>
      </c>
    </row>
    <row r="35" spans="1:6">
      <c r="A35" s="2">
        <v>34</v>
      </c>
      <c r="B35" s="2" t="s">
        <v>8</v>
      </c>
      <c r="C35" s="2" t="s">
        <v>165</v>
      </c>
      <c r="D35" t="s">
        <v>166</v>
      </c>
      <c r="E35" t="s">
        <v>167</v>
      </c>
      <c r="F35" s="3" t="s">
        <v>168</v>
      </c>
    </row>
    <row r="36" spans="1:6">
      <c r="A36" s="2">
        <v>35</v>
      </c>
      <c r="B36" s="2" t="s">
        <v>8</v>
      </c>
      <c r="C36" s="2" t="s">
        <v>169</v>
      </c>
      <c r="D36" t="s">
        <v>48</v>
      </c>
      <c r="E36" t="s">
        <v>49</v>
      </c>
      <c r="F36" s="3" t="s">
        <v>170</v>
      </c>
    </row>
    <row r="37" spans="1:6">
      <c r="A37" s="2">
        <v>36</v>
      </c>
      <c r="B37" s="2" t="s">
        <v>11</v>
      </c>
      <c r="C37" s="2" t="s">
        <v>171</v>
      </c>
      <c r="D37" t="s">
        <v>172</v>
      </c>
      <c r="E37" t="s">
        <v>173</v>
      </c>
      <c r="F37" s="3" t="s">
        <v>174</v>
      </c>
    </row>
    <row r="38" spans="1:6">
      <c r="A38" s="2">
        <v>37</v>
      </c>
      <c r="B38" s="2" t="s">
        <v>11</v>
      </c>
      <c r="C38" s="2" t="s">
        <v>175</v>
      </c>
      <c r="D38" t="s">
        <v>176</v>
      </c>
      <c r="E38" t="s">
        <v>177</v>
      </c>
      <c r="F38" s="3" t="s">
        <v>178</v>
      </c>
    </row>
    <row r="39" spans="1:6">
      <c r="A39" s="2">
        <v>38</v>
      </c>
      <c r="B39" s="2" t="s">
        <v>11</v>
      </c>
      <c r="C39" s="2" t="s">
        <v>179</v>
      </c>
      <c r="D39" t="s">
        <v>180</v>
      </c>
      <c r="E39" t="s">
        <v>181</v>
      </c>
      <c r="F39" s="3" t="s">
        <v>182</v>
      </c>
    </row>
    <row r="40" spans="1:6">
      <c r="A40" s="2">
        <v>39</v>
      </c>
      <c r="B40" s="2" t="s">
        <v>11</v>
      </c>
      <c r="C40" s="2" t="s">
        <v>183</v>
      </c>
      <c r="D40" t="s">
        <v>184</v>
      </c>
      <c r="E40" t="s">
        <v>185</v>
      </c>
      <c r="F40" s="3" t="s">
        <v>186</v>
      </c>
    </row>
    <row r="41" spans="1:6">
      <c r="A41" s="2">
        <v>40</v>
      </c>
      <c r="B41" s="2" t="s">
        <v>11</v>
      </c>
      <c r="C41" s="2" t="s">
        <v>187</v>
      </c>
      <c r="D41" t="s">
        <v>188</v>
      </c>
      <c r="E41" t="s">
        <v>189</v>
      </c>
      <c r="F41" s="3" t="s">
        <v>190</v>
      </c>
    </row>
    <row r="42" spans="1:6">
      <c r="A42" s="2">
        <v>41</v>
      </c>
      <c r="B42" s="2" t="s">
        <v>11</v>
      </c>
      <c r="C42" s="2" t="s">
        <v>191</v>
      </c>
      <c r="D42" t="s">
        <v>192</v>
      </c>
      <c r="E42" t="s">
        <v>193</v>
      </c>
      <c r="F42" s="3" t="s">
        <v>194</v>
      </c>
    </row>
    <row r="43" spans="1:6">
      <c r="A43" s="2">
        <v>42</v>
      </c>
      <c r="B43" s="2" t="s">
        <v>11</v>
      </c>
      <c r="C43" s="2" t="s">
        <v>195</v>
      </c>
      <c r="D43" t="s">
        <v>196</v>
      </c>
      <c r="E43" t="s">
        <v>197</v>
      </c>
      <c r="F43" s="3" t="s">
        <v>198</v>
      </c>
    </row>
    <row r="44" spans="1:6">
      <c r="A44" s="2">
        <v>43</v>
      </c>
      <c r="B44" s="2" t="s">
        <v>11</v>
      </c>
      <c r="C44" s="2" t="s">
        <v>199</v>
      </c>
      <c r="D44" t="s">
        <v>200</v>
      </c>
      <c r="E44" t="s">
        <v>201</v>
      </c>
      <c r="F44" s="3" t="s">
        <v>202</v>
      </c>
    </row>
    <row r="45" spans="1:6">
      <c r="A45" s="2">
        <v>44</v>
      </c>
      <c r="B45" s="2" t="s">
        <v>11</v>
      </c>
      <c r="C45" s="2" t="s">
        <v>203</v>
      </c>
      <c r="D45" t="s">
        <v>204</v>
      </c>
      <c r="E45" t="s">
        <v>205</v>
      </c>
      <c r="F45" s="3" t="s">
        <v>206</v>
      </c>
    </row>
    <row r="46" spans="1:6">
      <c r="A46" s="2">
        <v>45</v>
      </c>
      <c r="B46" s="2" t="s">
        <v>11</v>
      </c>
      <c r="C46" s="2" t="s">
        <v>207</v>
      </c>
      <c r="D46" t="s">
        <v>173</v>
      </c>
      <c r="E46" t="s">
        <v>173</v>
      </c>
      <c r="F46" s="3" t="s">
        <v>208</v>
      </c>
    </row>
    <row r="47" spans="1:6">
      <c r="A47" s="2">
        <v>46</v>
      </c>
      <c r="B47" s="2" t="s">
        <v>11</v>
      </c>
      <c r="C47" s="2" t="s">
        <v>209</v>
      </c>
      <c r="D47" t="s">
        <v>210</v>
      </c>
      <c r="E47" t="s">
        <v>201</v>
      </c>
      <c r="F47" s="3" t="s">
        <v>211</v>
      </c>
    </row>
    <row r="48" spans="1:6">
      <c r="A48" s="2">
        <v>47</v>
      </c>
      <c r="B48" s="2" t="s">
        <v>11</v>
      </c>
      <c r="C48" s="2" t="s">
        <v>212</v>
      </c>
      <c r="D48" t="s">
        <v>213</v>
      </c>
      <c r="E48" t="s">
        <v>214</v>
      </c>
      <c r="F48" s="3" t="s">
        <v>215</v>
      </c>
    </row>
    <row r="49" spans="1:6">
      <c r="A49" s="2">
        <v>48</v>
      </c>
      <c r="B49" s="2" t="s">
        <v>14</v>
      </c>
      <c r="C49" s="2" t="s">
        <v>216</v>
      </c>
      <c r="D49" t="s">
        <v>217</v>
      </c>
      <c r="E49" t="s">
        <v>218</v>
      </c>
      <c r="F49" s="3" t="s">
        <v>219</v>
      </c>
    </row>
    <row r="50" spans="1:6">
      <c r="A50" s="2">
        <v>49</v>
      </c>
      <c r="B50" s="2" t="s">
        <v>14</v>
      </c>
      <c r="C50" s="2" t="s">
        <v>220</v>
      </c>
      <c r="D50" t="s">
        <v>221</v>
      </c>
      <c r="E50" t="s">
        <v>222</v>
      </c>
      <c r="F50" s="3" t="s">
        <v>223</v>
      </c>
    </row>
    <row r="51" spans="1:6">
      <c r="A51" s="2">
        <v>50</v>
      </c>
      <c r="B51" s="2" t="s">
        <v>14</v>
      </c>
      <c r="C51" s="2" t="s">
        <v>224</v>
      </c>
      <c r="D51" t="s">
        <v>225</v>
      </c>
      <c r="E51" t="s">
        <v>226</v>
      </c>
      <c r="F51" s="3" t="s">
        <v>227</v>
      </c>
    </row>
    <row r="52" spans="1:6">
      <c r="A52" s="2">
        <v>51</v>
      </c>
      <c r="B52" s="2" t="s">
        <v>14</v>
      </c>
      <c r="C52" s="2" t="s">
        <v>228</v>
      </c>
      <c r="D52" t="s">
        <v>229</v>
      </c>
      <c r="E52" t="s">
        <v>230</v>
      </c>
      <c r="F52" s="3" t="s">
        <v>231</v>
      </c>
    </row>
    <row r="53" spans="1:6">
      <c r="A53" s="2">
        <v>52</v>
      </c>
      <c r="B53" s="2" t="s">
        <v>14</v>
      </c>
      <c r="C53" s="2" t="s">
        <v>232</v>
      </c>
      <c r="D53" t="s">
        <v>233</v>
      </c>
      <c r="E53" t="s">
        <v>234</v>
      </c>
      <c r="F53" s="3" t="s">
        <v>235</v>
      </c>
    </row>
    <row r="54" spans="1:6">
      <c r="A54" s="2">
        <v>53</v>
      </c>
      <c r="B54" s="2" t="s">
        <v>14</v>
      </c>
      <c r="C54" s="2" t="s">
        <v>236</v>
      </c>
      <c r="D54" t="s">
        <v>237</v>
      </c>
      <c r="E54" t="s">
        <v>238</v>
      </c>
      <c r="F54" s="3" t="s">
        <v>239</v>
      </c>
    </row>
    <row r="55" spans="1:6">
      <c r="A55" s="2">
        <v>54</v>
      </c>
      <c r="B55" s="2" t="s">
        <v>14</v>
      </c>
      <c r="C55" s="2" t="s">
        <v>240</v>
      </c>
      <c r="D55" t="s">
        <v>241</v>
      </c>
      <c r="E55" t="s">
        <v>242</v>
      </c>
      <c r="F55" s="3" t="s">
        <v>243</v>
      </c>
    </row>
    <row r="56" spans="1:6">
      <c r="A56" s="2">
        <v>55</v>
      </c>
      <c r="B56" s="2" t="s">
        <v>14</v>
      </c>
      <c r="C56" s="2" t="s">
        <v>244</v>
      </c>
      <c r="D56" t="s">
        <v>245</v>
      </c>
      <c r="E56" t="s">
        <v>246</v>
      </c>
      <c r="F56" s="3" t="s">
        <v>247</v>
      </c>
    </row>
    <row r="57" spans="1:6">
      <c r="A57" s="2">
        <v>56</v>
      </c>
      <c r="B57" s="2" t="s">
        <v>14</v>
      </c>
      <c r="C57" s="2" t="s">
        <v>248</v>
      </c>
      <c r="D57" t="s">
        <v>249</v>
      </c>
      <c r="E57" t="s">
        <v>250</v>
      </c>
      <c r="F57" s="3" t="s">
        <v>251</v>
      </c>
    </row>
    <row r="58" spans="1:6">
      <c r="A58" s="2">
        <v>57</v>
      </c>
      <c r="B58" s="2" t="s">
        <v>14</v>
      </c>
      <c r="C58" s="2" t="s">
        <v>252</v>
      </c>
      <c r="D58" t="s">
        <v>253</v>
      </c>
      <c r="E58" t="s">
        <v>254</v>
      </c>
      <c r="F58" s="3" t="s">
        <v>255</v>
      </c>
    </row>
    <row r="59" spans="1:6">
      <c r="A59" s="2">
        <v>58</v>
      </c>
      <c r="B59" s="2" t="s">
        <v>14</v>
      </c>
      <c r="C59" s="2" t="s">
        <v>256</v>
      </c>
      <c r="D59" t="s">
        <v>257</v>
      </c>
      <c r="E59" t="s">
        <v>258</v>
      </c>
      <c r="F59" s="3" t="s">
        <v>259</v>
      </c>
    </row>
    <row r="60" spans="1:6">
      <c r="A60" s="2">
        <v>59</v>
      </c>
      <c r="B60" s="2" t="s">
        <v>14</v>
      </c>
      <c r="C60" s="2" t="s">
        <v>260</v>
      </c>
      <c r="D60" t="s">
        <v>261</v>
      </c>
      <c r="E60" t="s">
        <v>262</v>
      </c>
      <c r="F60" s="3" t="s">
        <v>263</v>
      </c>
    </row>
    <row r="61" spans="1:6">
      <c r="A61" s="2">
        <v>60</v>
      </c>
      <c r="B61" s="2" t="s">
        <v>17</v>
      </c>
      <c r="C61" s="2" t="s">
        <v>264</v>
      </c>
      <c r="D61" t="s">
        <v>108</v>
      </c>
      <c r="E61" t="s">
        <v>109</v>
      </c>
      <c r="F61" s="3" t="s">
        <v>265</v>
      </c>
    </row>
    <row r="62" spans="1:6">
      <c r="A62" s="2">
        <v>61</v>
      </c>
      <c r="B62" s="2" t="s">
        <v>17</v>
      </c>
      <c r="C62" s="2" t="s">
        <v>266</v>
      </c>
      <c r="D62" t="s">
        <v>267</v>
      </c>
      <c r="E62" t="s">
        <v>268</v>
      </c>
      <c r="F62" s="3" t="s">
        <v>269</v>
      </c>
    </row>
    <row r="63" spans="1:6">
      <c r="A63" s="2">
        <v>62</v>
      </c>
      <c r="B63" s="2" t="s">
        <v>17</v>
      </c>
      <c r="C63" s="2" t="s">
        <v>270</v>
      </c>
      <c r="D63" t="s">
        <v>271</v>
      </c>
      <c r="E63" t="s">
        <v>272</v>
      </c>
      <c r="F63" s="3" t="s">
        <v>273</v>
      </c>
    </row>
    <row r="64" spans="1:6">
      <c r="A64" s="2">
        <v>63</v>
      </c>
      <c r="B64" s="2" t="s">
        <v>17</v>
      </c>
      <c r="C64" s="2" t="s">
        <v>274</v>
      </c>
      <c r="D64" t="s">
        <v>275</v>
      </c>
      <c r="E64" t="s">
        <v>276</v>
      </c>
      <c r="F64" s="3" t="s">
        <v>277</v>
      </c>
    </row>
    <row r="65" spans="1:6">
      <c r="A65" s="2">
        <v>64</v>
      </c>
      <c r="B65" s="2" t="s">
        <v>17</v>
      </c>
      <c r="C65" s="2" t="s">
        <v>278</v>
      </c>
      <c r="D65" t="s">
        <v>279</v>
      </c>
      <c r="E65" t="s">
        <v>280</v>
      </c>
      <c r="F65" s="3" t="s">
        <v>281</v>
      </c>
    </row>
    <row r="66" spans="1:6">
      <c r="A66" s="2">
        <v>65</v>
      </c>
      <c r="B66" s="2" t="s">
        <v>17</v>
      </c>
      <c r="C66" s="2" t="s">
        <v>282</v>
      </c>
      <c r="D66" t="s">
        <v>225</v>
      </c>
      <c r="E66" t="s">
        <v>226</v>
      </c>
      <c r="F66" s="3" t="s">
        <v>283</v>
      </c>
    </row>
    <row r="67" spans="1:6">
      <c r="A67" s="2">
        <v>66</v>
      </c>
      <c r="B67" s="2" t="s">
        <v>17</v>
      </c>
      <c r="C67" s="2" t="s">
        <v>284</v>
      </c>
      <c r="D67" t="s">
        <v>285</v>
      </c>
      <c r="E67" t="s">
        <v>109</v>
      </c>
      <c r="F67" s="3" t="s">
        <v>286</v>
      </c>
    </row>
    <row r="68" spans="1:6">
      <c r="A68" s="2">
        <v>67</v>
      </c>
      <c r="B68" s="2" t="s">
        <v>17</v>
      </c>
      <c r="C68" s="2" t="s">
        <v>287</v>
      </c>
      <c r="D68" t="s">
        <v>285</v>
      </c>
      <c r="E68" t="s">
        <v>109</v>
      </c>
      <c r="F68" s="3" t="s">
        <v>288</v>
      </c>
    </row>
    <row r="69" spans="1:6">
      <c r="A69" s="2">
        <v>68</v>
      </c>
      <c r="B69" s="2" t="s">
        <v>17</v>
      </c>
      <c r="C69" s="2" t="s">
        <v>289</v>
      </c>
      <c r="D69" t="s">
        <v>290</v>
      </c>
      <c r="E69" t="s">
        <v>291</v>
      </c>
      <c r="F69" s="3" t="s">
        <v>292</v>
      </c>
    </row>
    <row r="70" spans="1:6">
      <c r="A70" s="2">
        <v>69</v>
      </c>
      <c r="B70" s="2" t="s">
        <v>17</v>
      </c>
      <c r="C70" s="2" t="s">
        <v>293</v>
      </c>
      <c r="D70" t="s">
        <v>173</v>
      </c>
      <c r="E70" t="s">
        <v>173</v>
      </c>
      <c r="F70" s="3" t="s">
        <v>294</v>
      </c>
    </row>
    <row r="71" spans="1:6">
      <c r="A71" s="2">
        <v>70</v>
      </c>
      <c r="B71" s="2" t="s">
        <v>20</v>
      </c>
      <c r="C71" s="2" t="s">
        <v>295</v>
      </c>
      <c r="D71" t="s">
        <v>296</v>
      </c>
      <c r="E71" t="s">
        <v>297</v>
      </c>
      <c r="F71" s="3" t="s">
        <v>298</v>
      </c>
    </row>
    <row r="72" spans="1:6">
      <c r="A72" s="2">
        <v>71</v>
      </c>
      <c r="B72" s="2" t="s">
        <v>20</v>
      </c>
      <c r="C72" s="2" t="s">
        <v>299</v>
      </c>
      <c r="D72" t="s">
        <v>300</v>
      </c>
      <c r="E72" t="s">
        <v>301</v>
      </c>
      <c r="F72" s="3" t="s">
        <v>302</v>
      </c>
    </row>
    <row r="73" spans="1:6">
      <c r="A73" s="2">
        <v>72</v>
      </c>
      <c r="B73" s="2" t="s">
        <v>20</v>
      </c>
      <c r="C73" s="2" t="s">
        <v>303</v>
      </c>
      <c r="D73" t="s">
        <v>92</v>
      </c>
      <c r="E73" t="s">
        <v>93</v>
      </c>
      <c r="F73" s="3" t="s">
        <v>304</v>
      </c>
    </row>
    <row r="74" spans="1:6">
      <c r="A74" s="2">
        <v>73</v>
      </c>
      <c r="B74" s="2" t="s">
        <v>20</v>
      </c>
      <c r="C74" s="2" t="s">
        <v>305</v>
      </c>
      <c r="D74" t="s">
        <v>306</v>
      </c>
      <c r="E74" t="s">
        <v>307</v>
      </c>
      <c r="F74" s="3" t="s">
        <v>308</v>
      </c>
    </row>
    <row r="75" spans="1:6">
      <c r="A75" s="2">
        <v>74</v>
      </c>
      <c r="B75" s="2" t="s">
        <v>20</v>
      </c>
      <c r="C75" s="2" t="s">
        <v>309</v>
      </c>
      <c r="D75" t="s">
        <v>310</v>
      </c>
      <c r="E75" t="s">
        <v>311</v>
      </c>
      <c r="F75" s="3" t="s">
        <v>312</v>
      </c>
    </row>
    <row r="76" spans="1:6">
      <c r="A76" s="2">
        <v>75</v>
      </c>
      <c r="B76" s="2" t="s">
        <v>20</v>
      </c>
      <c r="C76" s="2" t="s">
        <v>313</v>
      </c>
      <c r="D76" t="s">
        <v>314</v>
      </c>
      <c r="E76" t="s">
        <v>315</v>
      </c>
      <c r="F76" s="3" t="s">
        <v>316</v>
      </c>
    </row>
    <row r="77" spans="1:6">
      <c r="A77" s="2">
        <v>76</v>
      </c>
      <c r="B77" s="2" t="s">
        <v>20</v>
      </c>
      <c r="C77" s="2" t="s">
        <v>317</v>
      </c>
      <c r="D77" t="s">
        <v>318</v>
      </c>
      <c r="E77" t="s">
        <v>319</v>
      </c>
      <c r="F77" s="3" t="s">
        <v>320</v>
      </c>
    </row>
    <row r="78" spans="1:6">
      <c r="A78" s="2">
        <v>77</v>
      </c>
      <c r="B78" s="2" t="s">
        <v>20</v>
      </c>
      <c r="C78" s="2" t="s">
        <v>321</v>
      </c>
      <c r="D78" t="s">
        <v>322</v>
      </c>
      <c r="E78" t="s">
        <v>323</v>
      </c>
      <c r="F78" s="3" t="s">
        <v>324</v>
      </c>
    </row>
    <row r="79" spans="1:6">
      <c r="A79" s="2">
        <v>78</v>
      </c>
      <c r="B79" s="2" t="s">
        <v>20</v>
      </c>
      <c r="C79" s="2" t="s">
        <v>325</v>
      </c>
      <c r="D79" t="s">
        <v>326</v>
      </c>
      <c r="E79" t="s">
        <v>327</v>
      </c>
      <c r="F79" s="3" t="s">
        <v>328</v>
      </c>
    </row>
    <row r="80" spans="1:6">
      <c r="A80" s="2">
        <v>79</v>
      </c>
      <c r="B80" s="2" t="s">
        <v>20</v>
      </c>
      <c r="C80" s="2" t="s">
        <v>329</v>
      </c>
      <c r="D80" t="s">
        <v>330</v>
      </c>
      <c r="E80" t="s">
        <v>331</v>
      </c>
      <c r="F80" s="3" t="s">
        <v>332</v>
      </c>
    </row>
    <row r="81" spans="1:6">
      <c r="A81" s="2">
        <v>80</v>
      </c>
      <c r="B81" s="2" t="s">
        <v>20</v>
      </c>
      <c r="C81" s="2" t="s">
        <v>333</v>
      </c>
      <c r="D81" t="s">
        <v>334</v>
      </c>
      <c r="E81" t="s">
        <v>69</v>
      </c>
      <c r="F81" s="3" t="s">
        <v>335</v>
      </c>
    </row>
    <row r="82" spans="1:6">
      <c r="A82" s="2">
        <v>81</v>
      </c>
      <c r="B82" s="2" t="s">
        <v>20</v>
      </c>
      <c r="C82" s="2" t="s">
        <v>336</v>
      </c>
      <c r="D82" t="s">
        <v>337</v>
      </c>
      <c r="E82" t="s">
        <v>246</v>
      </c>
      <c r="F82" s="3" t="s">
        <v>338</v>
      </c>
    </row>
    <row r="83" spans="1:6">
      <c r="A83" s="2">
        <v>82</v>
      </c>
      <c r="B83" s="2" t="s">
        <v>20</v>
      </c>
      <c r="C83" s="2" t="s">
        <v>339</v>
      </c>
      <c r="D83" t="s">
        <v>340</v>
      </c>
      <c r="E83" t="s">
        <v>341</v>
      </c>
      <c r="F83" s="3" t="s">
        <v>342</v>
      </c>
    </row>
    <row r="84" spans="1:6">
      <c r="A84" s="2">
        <v>83</v>
      </c>
      <c r="B84" s="2" t="s">
        <v>20</v>
      </c>
      <c r="C84" s="2" t="s">
        <v>343</v>
      </c>
      <c r="D84" t="s">
        <v>344</v>
      </c>
      <c r="E84" t="s">
        <v>345</v>
      </c>
      <c r="F84" s="3" t="s">
        <v>346</v>
      </c>
    </row>
    <row r="85" spans="1:6">
      <c r="A85" s="2">
        <v>84</v>
      </c>
      <c r="B85" s="2" t="s">
        <v>20</v>
      </c>
      <c r="C85" s="2" t="s">
        <v>347</v>
      </c>
      <c r="D85" t="s">
        <v>285</v>
      </c>
      <c r="E85" t="s">
        <v>109</v>
      </c>
      <c r="F85" s="3" t="s">
        <v>348</v>
      </c>
    </row>
    <row r="86" spans="1:6">
      <c r="A86" s="2">
        <v>85</v>
      </c>
      <c r="B86" s="2" t="s">
        <v>20</v>
      </c>
      <c r="C86" s="2" t="s">
        <v>349</v>
      </c>
      <c r="D86" t="s">
        <v>210</v>
      </c>
      <c r="E86" t="s">
        <v>201</v>
      </c>
      <c r="F86" s="3" t="s">
        <v>350</v>
      </c>
    </row>
    <row r="87" spans="1:6">
      <c r="A87" s="2">
        <v>86</v>
      </c>
      <c r="B87" s="2" t="s">
        <v>20</v>
      </c>
      <c r="C87" s="2" t="s">
        <v>351</v>
      </c>
      <c r="D87" t="s">
        <v>337</v>
      </c>
      <c r="E87" t="s">
        <v>246</v>
      </c>
      <c r="F87" s="3" t="s">
        <v>352</v>
      </c>
    </row>
    <row r="88" spans="1:6">
      <c r="A88" s="2">
        <v>87</v>
      </c>
      <c r="B88" s="2" t="s">
        <v>20</v>
      </c>
      <c r="C88" s="2" t="s">
        <v>353</v>
      </c>
      <c r="D88" t="s">
        <v>354</v>
      </c>
      <c r="E88" t="s">
        <v>355</v>
      </c>
      <c r="F88" s="3" t="s">
        <v>356</v>
      </c>
    </row>
    <row r="89" spans="1:6">
      <c r="A89" s="2">
        <v>88</v>
      </c>
      <c r="B89" s="2" t="s">
        <v>20</v>
      </c>
      <c r="C89" s="2" t="s">
        <v>357</v>
      </c>
      <c r="D89" t="s">
        <v>358</v>
      </c>
      <c r="E89" t="s">
        <v>359</v>
      </c>
      <c r="F89" s="3" t="s">
        <v>360</v>
      </c>
    </row>
    <row r="90" spans="1:6">
      <c r="A90" s="2">
        <v>89</v>
      </c>
      <c r="B90" s="2" t="s">
        <v>20</v>
      </c>
      <c r="C90" s="2" t="s">
        <v>361</v>
      </c>
      <c r="D90" t="s">
        <v>176</v>
      </c>
      <c r="E90" t="s">
        <v>177</v>
      </c>
      <c r="F90" s="3" t="s">
        <v>362</v>
      </c>
    </row>
    <row r="91" spans="1:6">
      <c r="A91" s="2">
        <v>90</v>
      </c>
      <c r="B91" s="2" t="s">
        <v>20</v>
      </c>
      <c r="C91" s="2" t="s">
        <v>363</v>
      </c>
      <c r="D91" t="s">
        <v>364</v>
      </c>
      <c r="E91" t="s">
        <v>365</v>
      </c>
      <c r="F91" s="3" t="s">
        <v>366</v>
      </c>
    </row>
    <row r="92" spans="1:6">
      <c r="A92" s="2">
        <v>91</v>
      </c>
      <c r="B92" s="2" t="s">
        <v>20</v>
      </c>
      <c r="C92" s="2" t="s">
        <v>367</v>
      </c>
      <c r="D92" t="s">
        <v>364</v>
      </c>
      <c r="E92" t="s">
        <v>365</v>
      </c>
      <c r="F92" s="3" t="s">
        <v>368</v>
      </c>
    </row>
    <row r="93" spans="1:6">
      <c r="A93" s="2">
        <v>92</v>
      </c>
      <c r="B93" s="2" t="s">
        <v>20</v>
      </c>
      <c r="C93" s="2" t="s">
        <v>369</v>
      </c>
      <c r="D93" t="s">
        <v>370</v>
      </c>
      <c r="E93" t="s">
        <v>371</v>
      </c>
      <c r="F93" s="3" t="s">
        <v>372</v>
      </c>
    </row>
    <row r="94" spans="1:6">
      <c r="A94" s="2">
        <v>93</v>
      </c>
      <c r="B94" s="2" t="s">
        <v>20</v>
      </c>
      <c r="C94" s="2" t="s">
        <v>373</v>
      </c>
      <c r="D94" t="s">
        <v>279</v>
      </c>
      <c r="E94" t="s">
        <v>280</v>
      </c>
      <c r="F94" s="3" t="s">
        <v>374</v>
      </c>
    </row>
    <row r="95" spans="1:6">
      <c r="A95" s="2">
        <v>94</v>
      </c>
      <c r="B95" s="2" t="s">
        <v>20</v>
      </c>
      <c r="C95" s="2" t="s">
        <v>375</v>
      </c>
      <c r="D95" t="s">
        <v>337</v>
      </c>
      <c r="E95" t="s">
        <v>246</v>
      </c>
      <c r="F95" s="3" t="s">
        <v>376</v>
      </c>
    </row>
    <row r="96" spans="1:6">
      <c r="A96" s="2">
        <v>95</v>
      </c>
      <c r="B96" s="2" t="s">
        <v>20</v>
      </c>
      <c r="C96" s="2" t="s">
        <v>377</v>
      </c>
      <c r="D96" t="s">
        <v>88</v>
      </c>
      <c r="E96" t="s">
        <v>89</v>
      </c>
      <c r="F96" s="3" t="s">
        <v>378</v>
      </c>
    </row>
    <row r="97" spans="1:6">
      <c r="A97" s="2">
        <v>96</v>
      </c>
      <c r="B97" s="2" t="s">
        <v>20</v>
      </c>
      <c r="C97" s="2" t="s">
        <v>379</v>
      </c>
      <c r="D97" t="s">
        <v>124</v>
      </c>
      <c r="E97" t="s">
        <v>125</v>
      </c>
      <c r="F97" s="3" t="s">
        <v>380</v>
      </c>
    </row>
    <row r="98" spans="1:6">
      <c r="A98" s="2">
        <v>97</v>
      </c>
      <c r="B98" s="2" t="s">
        <v>20</v>
      </c>
      <c r="C98" s="2" t="s">
        <v>381</v>
      </c>
      <c r="D98" t="s">
        <v>382</v>
      </c>
      <c r="E98" t="s">
        <v>383</v>
      </c>
      <c r="F98" s="3" t="s">
        <v>384</v>
      </c>
    </row>
    <row r="99" spans="1:6">
      <c r="A99" s="2">
        <v>98</v>
      </c>
      <c r="B99" s="2" t="s">
        <v>20</v>
      </c>
      <c r="C99" s="2" t="s">
        <v>385</v>
      </c>
      <c r="D99" t="s">
        <v>245</v>
      </c>
      <c r="E99" t="s">
        <v>246</v>
      </c>
      <c r="F99" s="3" t="s">
        <v>386</v>
      </c>
    </row>
    <row r="100" spans="1:6">
      <c r="A100" s="2">
        <v>99</v>
      </c>
      <c r="B100" s="2" t="s">
        <v>20</v>
      </c>
      <c r="C100" s="2" t="s">
        <v>387</v>
      </c>
      <c r="D100" t="s">
        <v>364</v>
      </c>
      <c r="E100" t="s">
        <v>365</v>
      </c>
      <c r="F100" s="3" t="s">
        <v>388</v>
      </c>
    </row>
    <row r="101" spans="1:6">
      <c r="A101" s="2">
        <v>100</v>
      </c>
      <c r="B101" s="2" t="s">
        <v>20</v>
      </c>
      <c r="C101" s="2" t="s">
        <v>389</v>
      </c>
      <c r="D101" t="s">
        <v>162</v>
      </c>
      <c r="E101" t="s">
        <v>390</v>
      </c>
      <c r="F101" s="3" t="s">
        <v>391</v>
      </c>
    </row>
    <row r="102" spans="1:6">
      <c r="A102" s="2">
        <v>101</v>
      </c>
      <c r="B102" s="2" t="s">
        <v>23</v>
      </c>
      <c r="C102" s="2" t="s">
        <v>392</v>
      </c>
      <c r="D102" t="s">
        <v>393</v>
      </c>
      <c r="E102" t="s">
        <v>394</v>
      </c>
      <c r="F102" s="3" t="s">
        <v>395</v>
      </c>
    </row>
    <row r="103" spans="1:6">
      <c r="A103" s="2">
        <v>102</v>
      </c>
      <c r="B103" s="2" t="s">
        <v>23</v>
      </c>
      <c r="C103" s="2" t="s">
        <v>396</v>
      </c>
      <c r="D103" t="s">
        <v>397</v>
      </c>
      <c r="E103" t="s">
        <v>398</v>
      </c>
      <c r="F103" s="3" t="s">
        <v>399</v>
      </c>
    </row>
    <row r="104" spans="1:6">
      <c r="A104" s="2">
        <v>103</v>
      </c>
      <c r="B104" s="2" t="s">
        <v>23</v>
      </c>
      <c r="C104" s="2" t="s">
        <v>400</v>
      </c>
      <c r="D104" t="s">
        <v>401</v>
      </c>
      <c r="E104" t="s">
        <v>402</v>
      </c>
      <c r="F104" s="3" t="s">
        <v>403</v>
      </c>
    </row>
    <row r="105" spans="1:6">
      <c r="A105" s="2">
        <v>104</v>
      </c>
      <c r="B105" s="2" t="s">
        <v>23</v>
      </c>
      <c r="C105" s="2" t="s">
        <v>404</v>
      </c>
      <c r="D105" t="s">
        <v>405</v>
      </c>
      <c r="E105" t="s">
        <v>406</v>
      </c>
      <c r="F105" s="3" t="s">
        <v>407</v>
      </c>
    </row>
    <row r="106" spans="1:6">
      <c r="A106" s="2">
        <v>105</v>
      </c>
      <c r="B106" s="2" t="s">
        <v>23</v>
      </c>
      <c r="C106" s="2" t="s">
        <v>408</v>
      </c>
      <c r="D106" t="s">
        <v>409</v>
      </c>
      <c r="E106" t="s">
        <v>410</v>
      </c>
      <c r="F106" s="3" t="s">
        <v>411</v>
      </c>
    </row>
    <row r="107" spans="1:6">
      <c r="A107" s="2">
        <v>106</v>
      </c>
      <c r="B107" s="2" t="s">
        <v>23</v>
      </c>
      <c r="C107" s="2" t="s">
        <v>412</v>
      </c>
      <c r="D107" t="s">
        <v>413</v>
      </c>
      <c r="E107" t="s">
        <v>414</v>
      </c>
      <c r="F107" s="3" t="s">
        <v>415</v>
      </c>
    </row>
    <row r="108" spans="1:6">
      <c r="A108" s="2">
        <v>107</v>
      </c>
      <c r="B108" s="2" t="s">
        <v>23</v>
      </c>
      <c r="C108" s="2" t="s">
        <v>416</v>
      </c>
      <c r="D108" t="s">
        <v>334</v>
      </c>
      <c r="E108" t="s">
        <v>69</v>
      </c>
      <c r="F108" s="3" t="s">
        <v>417</v>
      </c>
    </row>
    <row r="109" spans="1:6">
      <c r="A109" s="2">
        <v>108</v>
      </c>
      <c r="B109" s="2" t="s">
        <v>23</v>
      </c>
      <c r="C109" s="2" t="s">
        <v>418</v>
      </c>
      <c r="D109" t="s">
        <v>419</v>
      </c>
      <c r="E109" t="s">
        <v>420</v>
      </c>
      <c r="F109" s="3" t="s">
        <v>421</v>
      </c>
    </row>
    <row r="110" spans="1:6">
      <c r="A110" s="2">
        <v>109</v>
      </c>
      <c r="B110" s="2" t="s">
        <v>23</v>
      </c>
      <c r="C110" s="2" t="s">
        <v>422</v>
      </c>
      <c r="D110" t="s">
        <v>267</v>
      </c>
      <c r="E110" t="s">
        <v>268</v>
      </c>
      <c r="F110" s="3" t="s">
        <v>423</v>
      </c>
    </row>
    <row r="111" spans="1:6">
      <c r="A111" s="2">
        <v>110</v>
      </c>
      <c r="B111" s="2" t="s">
        <v>23</v>
      </c>
      <c r="C111" s="2" t="s">
        <v>424</v>
      </c>
      <c r="D111" t="s">
        <v>425</v>
      </c>
      <c r="E111" t="s">
        <v>426</v>
      </c>
      <c r="F111" s="3" t="s">
        <v>427</v>
      </c>
    </row>
    <row r="112" spans="1:6">
      <c r="A112" s="2">
        <v>111</v>
      </c>
      <c r="B112" s="2" t="s">
        <v>23</v>
      </c>
      <c r="C112" s="2" t="s">
        <v>428</v>
      </c>
      <c r="D112" t="s">
        <v>364</v>
      </c>
      <c r="E112" t="s">
        <v>365</v>
      </c>
      <c r="F112" s="3" t="s">
        <v>429</v>
      </c>
    </row>
    <row r="113" spans="1:6">
      <c r="A113" s="2">
        <v>112</v>
      </c>
      <c r="B113" s="2" t="s">
        <v>23</v>
      </c>
      <c r="C113" s="2" t="s">
        <v>430</v>
      </c>
      <c r="D113" t="s">
        <v>364</v>
      </c>
      <c r="E113" t="s">
        <v>365</v>
      </c>
      <c r="F113" s="3" t="s">
        <v>431</v>
      </c>
    </row>
    <row r="114" spans="1:6">
      <c r="A114" s="2">
        <v>113</v>
      </c>
      <c r="B114" s="2" t="s">
        <v>23</v>
      </c>
      <c r="C114" s="2" t="s">
        <v>432</v>
      </c>
      <c r="D114" t="s">
        <v>173</v>
      </c>
      <c r="E114" t="s">
        <v>173</v>
      </c>
      <c r="F114" s="3" t="s">
        <v>433</v>
      </c>
    </row>
    <row r="115" spans="1:6">
      <c r="A115" s="2">
        <v>114</v>
      </c>
      <c r="B115" s="2" t="s">
        <v>23</v>
      </c>
      <c r="C115" s="2" t="s">
        <v>434</v>
      </c>
      <c r="D115" t="s">
        <v>337</v>
      </c>
      <c r="E115" t="s">
        <v>246</v>
      </c>
      <c r="F115" s="3" t="s">
        <v>435</v>
      </c>
    </row>
    <row r="116" spans="1:6">
      <c r="A116" s="2">
        <v>115</v>
      </c>
      <c r="B116" s="2" t="s">
        <v>23</v>
      </c>
      <c r="C116" s="2" t="s">
        <v>436</v>
      </c>
      <c r="D116" t="s">
        <v>173</v>
      </c>
      <c r="E116" t="s">
        <v>173</v>
      </c>
      <c r="F116" s="3" t="s">
        <v>437</v>
      </c>
    </row>
    <row r="117" spans="1:6">
      <c r="A117" s="2">
        <v>116</v>
      </c>
      <c r="B117" s="2" t="s">
        <v>23</v>
      </c>
      <c r="C117" s="2" t="s">
        <v>438</v>
      </c>
      <c r="D117" t="s">
        <v>210</v>
      </c>
      <c r="E117" t="s">
        <v>201</v>
      </c>
      <c r="F117" s="3" t="s">
        <v>439</v>
      </c>
    </row>
    <row r="118" spans="1:6">
      <c r="A118" s="2">
        <v>117</v>
      </c>
      <c r="B118" s="2" t="s">
        <v>23</v>
      </c>
      <c r="C118" s="2" t="s">
        <v>440</v>
      </c>
      <c r="D118" t="s">
        <v>56</v>
      </c>
      <c r="E118" t="s">
        <v>57</v>
      </c>
      <c r="F118" s="3" t="s">
        <v>441</v>
      </c>
    </row>
    <row r="119" spans="1:6">
      <c r="A119" s="2">
        <v>118</v>
      </c>
      <c r="B119" s="2" t="s">
        <v>23</v>
      </c>
      <c r="C119" s="2" t="s">
        <v>442</v>
      </c>
      <c r="D119" t="s">
        <v>443</v>
      </c>
      <c r="E119" t="s">
        <v>444</v>
      </c>
      <c r="F119" s="3" t="s">
        <v>445</v>
      </c>
    </row>
    <row r="120" spans="1:6">
      <c r="A120" s="2">
        <v>119</v>
      </c>
      <c r="B120" s="2" t="s">
        <v>23</v>
      </c>
      <c r="C120" s="2" t="s">
        <v>446</v>
      </c>
      <c r="D120" t="s">
        <v>173</v>
      </c>
      <c r="E120" t="s">
        <v>173</v>
      </c>
      <c r="F120" s="3" t="s">
        <v>447</v>
      </c>
    </row>
    <row r="121" spans="1:6">
      <c r="A121" s="2">
        <v>120</v>
      </c>
      <c r="B121" s="2" t="s">
        <v>23</v>
      </c>
      <c r="C121" s="2" t="s">
        <v>448</v>
      </c>
      <c r="D121" t="s">
        <v>449</v>
      </c>
      <c r="E121" t="s">
        <v>450</v>
      </c>
      <c r="F121" s="3" t="s">
        <v>451</v>
      </c>
    </row>
    <row r="122" spans="1:6">
      <c r="A122" s="2">
        <v>121</v>
      </c>
      <c r="B122" s="2" t="s">
        <v>23</v>
      </c>
      <c r="C122" s="2" t="s">
        <v>452</v>
      </c>
      <c r="D122" t="s">
        <v>453</v>
      </c>
      <c r="E122" t="s">
        <v>297</v>
      </c>
      <c r="F122" s="3" t="s">
        <v>454</v>
      </c>
    </row>
    <row r="123" spans="1:6">
      <c r="A123" s="2">
        <v>122</v>
      </c>
      <c r="B123" s="2" t="s">
        <v>26</v>
      </c>
      <c r="C123" s="2" t="s">
        <v>455</v>
      </c>
      <c r="D123" t="s">
        <v>217</v>
      </c>
      <c r="E123" t="s">
        <v>218</v>
      </c>
      <c r="F123" s="3" t="s">
        <v>219</v>
      </c>
    </row>
    <row r="124" spans="1:6">
      <c r="A124" s="2">
        <v>123</v>
      </c>
      <c r="B124" s="2" t="s">
        <v>26</v>
      </c>
      <c r="C124" s="2" t="s">
        <v>456</v>
      </c>
      <c r="D124" t="s">
        <v>457</v>
      </c>
      <c r="E124" t="s">
        <v>458</v>
      </c>
      <c r="F124" s="3" t="s">
        <v>223</v>
      </c>
    </row>
    <row r="125" spans="1:6">
      <c r="A125" s="2">
        <v>124</v>
      </c>
      <c r="B125" s="2" t="s">
        <v>26</v>
      </c>
      <c r="C125" s="2" t="s">
        <v>459</v>
      </c>
      <c r="D125" t="s">
        <v>460</v>
      </c>
      <c r="E125" t="s">
        <v>461</v>
      </c>
      <c r="F125" s="3" t="s">
        <v>462</v>
      </c>
    </row>
    <row r="126" spans="1:6">
      <c r="A126" s="2">
        <v>125</v>
      </c>
      <c r="B126" s="2" t="s">
        <v>26</v>
      </c>
      <c r="C126" s="2" t="s">
        <v>463</v>
      </c>
      <c r="D126" t="s">
        <v>464</v>
      </c>
      <c r="E126" t="s">
        <v>465</v>
      </c>
      <c r="F126" s="3" t="s">
        <v>466</v>
      </c>
    </row>
    <row r="127" spans="1:6">
      <c r="A127" s="2">
        <v>126</v>
      </c>
      <c r="B127" s="2" t="s">
        <v>26</v>
      </c>
      <c r="C127" s="2" t="s">
        <v>467</v>
      </c>
      <c r="D127" t="s">
        <v>468</v>
      </c>
      <c r="E127" t="s">
        <v>469</v>
      </c>
      <c r="F127" s="3" t="s">
        <v>470</v>
      </c>
    </row>
    <row r="128" spans="1:6">
      <c r="A128" s="2">
        <v>127</v>
      </c>
      <c r="B128" s="2" t="s">
        <v>26</v>
      </c>
      <c r="C128" s="2" t="s">
        <v>471</v>
      </c>
      <c r="D128" t="s">
        <v>472</v>
      </c>
      <c r="E128" t="s">
        <v>473</v>
      </c>
      <c r="F128" s="3" t="s">
        <v>474</v>
      </c>
    </row>
    <row r="129" spans="1:6">
      <c r="A129" s="2">
        <v>128</v>
      </c>
      <c r="B129" s="2" t="s">
        <v>26</v>
      </c>
      <c r="C129" s="2" t="s">
        <v>475</v>
      </c>
      <c r="D129" t="s">
        <v>476</v>
      </c>
      <c r="E129" t="s">
        <v>477</v>
      </c>
      <c r="F129" s="3" t="s">
        <v>478</v>
      </c>
    </row>
    <row r="130" spans="1:6">
      <c r="A130" s="2">
        <v>129</v>
      </c>
      <c r="B130" s="2" t="s">
        <v>26</v>
      </c>
      <c r="C130" s="2" t="s">
        <v>479</v>
      </c>
      <c r="D130" t="s">
        <v>480</v>
      </c>
      <c r="E130" t="s">
        <v>481</v>
      </c>
      <c r="F130" s="3" t="s">
        <v>482</v>
      </c>
    </row>
    <row r="131" spans="1:6">
      <c r="A131" s="2">
        <v>130</v>
      </c>
      <c r="B131" s="2" t="s">
        <v>26</v>
      </c>
      <c r="C131" s="2" t="s">
        <v>483</v>
      </c>
      <c r="D131" t="s">
        <v>484</v>
      </c>
      <c r="E131" t="s">
        <v>485</v>
      </c>
      <c r="F131" s="3" t="s">
        <v>486</v>
      </c>
    </row>
    <row r="132" spans="1:6">
      <c r="A132" s="2">
        <v>131</v>
      </c>
      <c r="B132" s="2" t="s">
        <v>26</v>
      </c>
      <c r="C132" s="2" t="s">
        <v>487</v>
      </c>
      <c r="D132" t="s">
        <v>488</v>
      </c>
      <c r="E132" t="s">
        <v>489</v>
      </c>
      <c r="F132" s="3" t="s">
        <v>490</v>
      </c>
    </row>
    <row r="133" spans="1:6">
      <c r="A133" s="2">
        <v>132</v>
      </c>
      <c r="B133" s="2" t="s">
        <v>26</v>
      </c>
      <c r="C133" s="2" t="s">
        <v>491</v>
      </c>
      <c r="D133" t="s">
        <v>44</v>
      </c>
      <c r="E133" t="s">
        <v>45</v>
      </c>
      <c r="F133" s="3" t="s">
        <v>492</v>
      </c>
    </row>
    <row r="134" spans="1:6">
      <c r="A134" s="2">
        <v>133</v>
      </c>
      <c r="B134" s="2" t="s">
        <v>26</v>
      </c>
      <c r="C134" s="2" t="s">
        <v>493</v>
      </c>
      <c r="D134" t="s">
        <v>494</v>
      </c>
      <c r="E134" t="s">
        <v>495</v>
      </c>
      <c r="F134" s="3" t="s">
        <v>496</v>
      </c>
    </row>
    <row r="135" spans="1:6">
      <c r="A135" s="2">
        <v>134</v>
      </c>
      <c r="B135" s="2" t="s">
        <v>26</v>
      </c>
      <c r="C135" s="2" t="s">
        <v>497</v>
      </c>
      <c r="D135" t="s">
        <v>498</v>
      </c>
      <c r="E135" t="s">
        <v>214</v>
      </c>
      <c r="F135" s="3" t="s">
        <v>499</v>
      </c>
    </row>
    <row r="136" spans="1:6">
      <c r="A136" s="2">
        <v>135</v>
      </c>
      <c r="B136" s="2" t="s">
        <v>26</v>
      </c>
      <c r="C136" s="2" t="s">
        <v>500</v>
      </c>
      <c r="D136" t="s">
        <v>501</v>
      </c>
      <c r="E136" t="s">
        <v>125</v>
      </c>
      <c r="F136" s="3" t="s">
        <v>502</v>
      </c>
    </row>
    <row r="137" spans="1:6">
      <c r="A137" s="2">
        <v>136</v>
      </c>
      <c r="B137" s="2" t="s">
        <v>26</v>
      </c>
      <c r="C137" s="2" t="s">
        <v>503</v>
      </c>
      <c r="D137" t="s">
        <v>504</v>
      </c>
      <c r="E137" t="s">
        <v>505</v>
      </c>
      <c r="F137" s="3" t="s">
        <v>506</v>
      </c>
    </row>
    <row r="138" spans="1:6">
      <c r="A138" s="2">
        <v>137</v>
      </c>
      <c r="B138" s="2" t="s">
        <v>26</v>
      </c>
      <c r="C138" s="2" t="s">
        <v>507</v>
      </c>
      <c r="D138" t="s">
        <v>285</v>
      </c>
      <c r="E138" t="s">
        <v>109</v>
      </c>
      <c r="F138" s="3" t="s">
        <v>508</v>
      </c>
    </row>
    <row r="139" spans="1:6">
      <c r="A139" s="2">
        <v>138</v>
      </c>
      <c r="B139" s="2" t="s">
        <v>26</v>
      </c>
      <c r="C139" s="2" t="s">
        <v>509</v>
      </c>
      <c r="D139" t="s">
        <v>510</v>
      </c>
      <c r="E139" t="s">
        <v>511</v>
      </c>
      <c r="F139" s="3" t="s">
        <v>512</v>
      </c>
    </row>
    <row r="140" spans="1:6">
      <c r="A140" s="2">
        <v>139</v>
      </c>
      <c r="B140" s="2" t="s">
        <v>26</v>
      </c>
      <c r="C140" s="2" t="s">
        <v>513</v>
      </c>
      <c r="D140" t="s">
        <v>514</v>
      </c>
      <c r="E140" t="s">
        <v>515</v>
      </c>
      <c r="F140" s="3" t="s">
        <v>516</v>
      </c>
    </row>
    <row r="141" spans="1:6">
      <c r="A141" s="2">
        <v>140</v>
      </c>
      <c r="B141" s="2" t="s">
        <v>26</v>
      </c>
      <c r="C141" s="2" t="s">
        <v>517</v>
      </c>
      <c r="D141" t="s">
        <v>518</v>
      </c>
      <c r="E141" t="s">
        <v>519</v>
      </c>
      <c r="F141" s="3" t="s">
        <v>520</v>
      </c>
    </row>
    <row r="142" spans="1:6">
      <c r="A142" s="2">
        <v>141</v>
      </c>
      <c r="B142" s="2" t="s">
        <v>26</v>
      </c>
      <c r="C142" s="2" t="s">
        <v>521</v>
      </c>
      <c r="D142" t="s">
        <v>522</v>
      </c>
      <c r="E142" t="s">
        <v>523</v>
      </c>
      <c r="F142" s="3" t="s">
        <v>524</v>
      </c>
    </row>
    <row r="143" spans="1:6">
      <c r="A143" s="2">
        <v>142</v>
      </c>
      <c r="B143" s="2" t="s">
        <v>26</v>
      </c>
      <c r="C143" s="2" t="s">
        <v>525</v>
      </c>
      <c r="D143" t="s">
        <v>285</v>
      </c>
      <c r="E143" t="s">
        <v>109</v>
      </c>
      <c r="F143" s="3" t="s">
        <v>526</v>
      </c>
    </row>
    <row r="144" spans="1:6">
      <c r="A144" s="2">
        <v>143</v>
      </c>
      <c r="B144" s="2" t="s">
        <v>26</v>
      </c>
      <c r="C144" s="2" t="s">
        <v>527</v>
      </c>
      <c r="D144" t="s">
        <v>528</v>
      </c>
      <c r="E144" t="s">
        <v>529</v>
      </c>
      <c r="F144" s="3" t="s">
        <v>530</v>
      </c>
    </row>
    <row r="145" spans="1:6">
      <c r="A145" s="2">
        <v>144</v>
      </c>
      <c r="B145" s="2" t="s">
        <v>26</v>
      </c>
      <c r="C145" s="2" t="s">
        <v>531</v>
      </c>
      <c r="D145" t="s">
        <v>279</v>
      </c>
      <c r="E145" t="s">
        <v>280</v>
      </c>
      <c r="F145" s="3" t="s">
        <v>532</v>
      </c>
    </row>
    <row r="146" spans="1:6">
      <c r="A146" s="2">
        <v>145</v>
      </c>
      <c r="B146" s="2" t="s">
        <v>26</v>
      </c>
      <c r="C146" s="2" t="s">
        <v>533</v>
      </c>
      <c r="D146" t="s">
        <v>534</v>
      </c>
      <c r="E146" t="s">
        <v>315</v>
      </c>
      <c r="F146" s="3" t="s">
        <v>535</v>
      </c>
    </row>
    <row r="147" spans="1:6">
      <c r="A147" s="2">
        <v>146</v>
      </c>
      <c r="B147" s="2" t="s">
        <v>26</v>
      </c>
      <c r="C147" s="2" t="s">
        <v>536</v>
      </c>
      <c r="D147" t="s">
        <v>537</v>
      </c>
      <c r="E147" t="s">
        <v>538</v>
      </c>
      <c r="F147" s="3" t="s">
        <v>539</v>
      </c>
    </row>
  </sheetData>
  <autoFilter xmlns:etc="http://www.wps.cn/officeDocument/2017/etCustomData" ref="A1:F147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分类统计</vt:lpstr>
      <vt:lpstr>要素图鉴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近十年日漫女主外观要素图鉴（全量版）</dc:title>
  <dc:creator>openpyxl</dc:creator>
  <cp:lastModifiedBy>我是谁</cp:lastModifiedBy>
  <dcterms:created xsi:type="dcterms:W3CDTF">2026-08-11T15:13:00Z</dcterms:created>
  <dcterms:modified xsi:type="dcterms:W3CDTF">2026-08-11T15:17:24Z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FB89152BD3644AD2A72A20E2BE421E1E_12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